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BAD1C160-1D7D-443C-AFB3-71E3CA9E6633}" xr6:coauthVersionLast="47" xr6:coauthVersionMax="47" xr10:uidLastSave="{00000000-0000-0000-0000-000000000000}"/>
  <bookViews>
    <workbookView xWindow="-120" yWindow="-120" windowWidth="20640" windowHeight="11160" tabRatio="801" activeTab="1" xr2:uid="{82F74ACD-C2BA-41E6-BDE5-1799E9202E6F}"/>
  </bookViews>
  <sheets>
    <sheet name="clean data set" sheetId="1" r:id="rId1"/>
    <sheet name="power query's clean data set" sheetId="3" r:id="rId2"/>
  </sheets>
  <definedNames>
    <definedName name="ExternalData_1" localSheetId="1" hidden="1">'power query''s clean data set'!$A$1:$P$61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DEB6F1-BF9E-4A80-AF68-C82A4E527698}" keepAlive="1" name="Query - Form_Responses" description="Connection to the 'Form_Responses' query in the workbook." type="5" refreshedVersion="7" background="1" saveData="1">
    <dbPr connection="Provider=Microsoft.Mashup.OleDb.1;Data Source=$Workbook$;Location=Form_Responses;Extended Properties=&quot;&quot;" command="SELECT * FROM [Form_Responses]"/>
  </connection>
</connections>
</file>

<file path=xl/sharedStrings.xml><?xml version="1.0" encoding="utf-8"?>
<sst xmlns="http://schemas.openxmlformats.org/spreadsheetml/2006/main" count="1591" uniqueCount="180">
  <si>
    <t>Timestamp</t>
  </si>
  <si>
    <t>Name</t>
  </si>
  <si>
    <t xml:space="preserve">Pradnya Ughade </t>
  </si>
  <si>
    <t>18-25</t>
  </si>
  <si>
    <t>Yes</t>
  </si>
  <si>
    <t>Google Pay</t>
  </si>
  <si>
    <t>3-5 Times</t>
  </si>
  <si>
    <t>Online Shopping</t>
  </si>
  <si>
    <t>No</t>
  </si>
  <si>
    <t>Speed (Instant payment settlement)</t>
  </si>
  <si>
    <t>Poor Internet Connectivity (Network issues)</t>
  </si>
  <si>
    <t xml:space="preserve">Rehan Khan </t>
  </si>
  <si>
    <t>khan2233rehan@gmail.com</t>
  </si>
  <si>
    <t>PhonePe</t>
  </si>
  <si>
    <t>Money Transfer</t>
  </si>
  <si>
    <t>All of the above</t>
  </si>
  <si>
    <t>Preference (Prefer to use cash/other methods)</t>
  </si>
  <si>
    <t>sonali</t>
  </si>
  <si>
    <t>sonalimakwana02@gmail.com</t>
  </si>
  <si>
    <t>Daily</t>
  </si>
  <si>
    <t>Tap-to-Pay via NFC (Offline Mode)
Enable UPI Lite + NFC — users can just tap phones together for instant offline payments (ideal for poor internet zones).</t>
  </si>
  <si>
    <t>Sujal kamble</t>
  </si>
  <si>
    <t>1-2 Times</t>
  </si>
  <si>
    <t>Bill Payments</t>
  </si>
  <si>
    <t>Pratik Khaire</t>
  </si>
  <si>
    <t>pratikdk09@gmail.com</t>
  </si>
  <si>
    <t>Fampay</t>
  </si>
  <si>
    <t>Local grocery/Kirana Shop</t>
  </si>
  <si>
    <t>Security/Fraud Concerns</t>
  </si>
  <si>
    <t>Soham Morye</t>
  </si>
  <si>
    <t>moryesoham4@gmail.com</t>
  </si>
  <si>
    <t>Grishma patil</t>
  </si>
  <si>
    <t>Grishmapatil176@gmail.com</t>
  </si>
  <si>
    <t>Convenience  (No need to carry cash)</t>
  </si>
  <si>
    <t xml:space="preserve">Sumant </t>
  </si>
  <si>
    <t>ssumantsharma17@gmail.com</t>
  </si>
  <si>
    <t>Yup, although it is good but something it just doesn't work when mostly needed. So, I would say add something like wallet for offline transactions</t>
  </si>
  <si>
    <t>Krish Pajne</t>
  </si>
  <si>
    <t>krishpajne08@gmail.com</t>
  </si>
  <si>
    <t>Paytm</t>
  </si>
  <si>
    <t>To save money daily. Like a wallet which will auto pay certain amount daily.</t>
  </si>
  <si>
    <t>Saniya gautam jadhav</t>
  </si>
  <si>
    <t>Ssaniyajadhav03@gmail.com</t>
  </si>
  <si>
    <t>Below 18</t>
  </si>
  <si>
    <t>Government Promotion/Initiatives</t>
  </si>
  <si>
    <t xml:space="preserve">Vaibhavi patil </t>
  </si>
  <si>
    <t>vaibhaviipatil1903@gmail.com</t>
  </si>
  <si>
    <t xml:space="preserve">Offline payment for poor connection </t>
  </si>
  <si>
    <t xml:space="preserve">Archa </t>
  </si>
  <si>
    <t>archanair632@gmail.com</t>
  </si>
  <si>
    <t xml:space="preserve">No network payment </t>
  </si>
  <si>
    <t>Urvi Morye</t>
  </si>
  <si>
    <t>urvimorye2610@gmail.com</t>
  </si>
  <si>
    <t>Above 40</t>
  </si>
  <si>
    <t xml:space="preserve">Gauri Hiraman Dhotre </t>
  </si>
  <si>
    <t>sandhya1dhotre@gmail.com</t>
  </si>
  <si>
    <t xml:space="preserve">Khushal arun satve </t>
  </si>
  <si>
    <t>khushalsatve@gmail.com</t>
  </si>
  <si>
    <t xml:space="preserve">Fampay </t>
  </si>
  <si>
    <t xml:space="preserve">Binod </t>
  </si>
  <si>
    <t>atharvakhadye783@gmail.com</t>
  </si>
  <si>
    <t>khushi mishra</t>
  </si>
  <si>
    <t>khushimishra221503@gmail.com</t>
  </si>
  <si>
    <t>Nothing</t>
  </si>
  <si>
    <t>Prabha Ughdade</t>
  </si>
  <si>
    <t xml:space="preserve">Shreyas </t>
  </si>
  <si>
    <t>Shreyaspalav@12gmail.com</t>
  </si>
  <si>
    <t xml:space="preserve">Khan Owais </t>
  </si>
  <si>
    <t>ok9015064@gmail.com</t>
  </si>
  <si>
    <t>A K</t>
  </si>
  <si>
    <t>Ak2052590@gmail.com</t>
  </si>
  <si>
    <t>Atharva</t>
  </si>
  <si>
    <t>Merchant/Shopkeeper Demand (Acceptance everywhere)</t>
  </si>
  <si>
    <t xml:space="preserve">Pranav kale </t>
  </si>
  <si>
    <t>pranavkale116@gmail.com</t>
  </si>
  <si>
    <t xml:space="preserve">Cashback </t>
  </si>
  <si>
    <t>Ramesh laude</t>
  </si>
  <si>
    <t>opnoobde@gmail.com</t>
  </si>
  <si>
    <t>26-40</t>
  </si>
  <si>
    <t>Lack of Digital Literacy (Don't know how to use it)</t>
  </si>
  <si>
    <t xml:space="preserve">Munir khan </t>
  </si>
  <si>
    <t>munirkhan683227@gmail.com</t>
  </si>
  <si>
    <t xml:space="preserve">Mukund Mandaviya </t>
  </si>
  <si>
    <t xml:space="preserve">Aditi Singh </t>
  </si>
  <si>
    <t>aditisingh30jan2007@gmail.com</t>
  </si>
  <si>
    <t>Pritam</t>
  </si>
  <si>
    <t>pritamshaw451@gmail.com</t>
  </si>
  <si>
    <t>History records</t>
  </si>
  <si>
    <t xml:space="preserve">Rajik </t>
  </si>
  <si>
    <t>Raziksayyad2@gmail.com</t>
  </si>
  <si>
    <t xml:space="preserve">UPI should Reward us for daily payment </t>
  </si>
  <si>
    <t xml:space="preserve">Priyal </t>
  </si>
  <si>
    <t>priyal.2402523201@vcet.edu.in</t>
  </si>
  <si>
    <t xml:space="preserve">Shravani Ganesh Choudhari </t>
  </si>
  <si>
    <t>shravaniganeshchoudhari@gmail.com</t>
  </si>
  <si>
    <t xml:space="preserve">Hardh shah </t>
  </si>
  <si>
    <t>hardhshah1@gmail.com</t>
  </si>
  <si>
    <t xml:space="preserve">Priyanka Dharmendra Yadav </t>
  </si>
  <si>
    <t>priyanka043252@gmail.com</t>
  </si>
  <si>
    <t xml:space="preserve">Hasan Sayyed </t>
  </si>
  <si>
    <t>hasansayyed066@gmail.com</t>
  </si>
  <si>
    <t xml:space="preserve">Trupti </t>
  </si>
  <si>
    <t>kambletrupti424@gmail.com</t>
  </si>
  <si>
    <t xml:space="preserve">Payment without internet </t>
  </si>
  <si>
    <t xml:space="preserve">Astha </t>
  </si>
  <si>
    <t>palastha93@gmail.com</t>
  </si>
  <si>
    <t>Each transaction should give cashback above 100</t>
  </si>
  <si>
    <t xml:space="preserve">Faisal Sayyed </t>
  </si>
  <si>
    <t>faisalsayyed808@gmail.com</t>
  </si>
  <si>
    <t>Kshitij Warang</t>
  </si>
  <si>
    <t>warangkshitij180@gmail.com</t>
  </si>
  <si>
    <t>Khushi pandey</t>
  </si>
  <si>
    <t>Kishipandey1140@gamil.com</t>
  </si>
  <si>
    <t xml:space="preserve">Vedant Madiwal </t>
  </si>
  <si>
    <t>vedantmadiwal@gmail.com</t>
  </si>
  <si>
    <t xml:space="preserve">Security features and offline transaction </t>
  </si>
  <si>
    <t xml:space="preserve">Pruthvi kamble </t>
  </si>
  <si>
    <t>pruthvikamble576@gmail.com</t>
  </si>
  <si>
    <t xml:space="preserve">Develope a strong system as more secure as possible </t>
  </si>
  <si>
    <t xml:space="preserve">Moin Shaikh </t>
  </si>
  <si>
    <t>shaikhrozan90@gmail.com</t>
  </si>
  <si>
    <t xml:space="preserve">Per payment cashback </t>
  </si>
  <si>
    <t xml:space="preserve">Aditya Ughade </t>
  </si>
  <si>
    <t xml:space="preserve">Riya Salunkhe </t>
  </si>
  <si>
    <t>salunkheriya76@gmail.com</t>
  </si>
  <si>
    <t>Investment &amp; savings integration</t>
  </si>
  <si>
    <t xml:space="preserve">Sumedh Sanjay Nilakhe </t>
  </si>
  <si>
    <t>sumedhnilakhe832@gmail.com</t>
  </si>
  <si>
    <t xml:space="preserve">Ashish ganpat Fulaware </t>
  </si>
  <si>
    <t>ashishfulaware123456@gmail.com</t>
  </si>
  <si>
    <t>Its already good</t>
  </si>
  <si>
    <t>Abhay ramadurg</t>
  </si>
  <si>
    <t xml:space="preserve">abhayramadurg30@gmail.com </t>
  </si>
  <si>
    <t>Instant payments without having to put the pin</t>
  </si>
  <si>
    <t xml:space="preserve">Muzaffer khan </t>
  </si>
  <si>
    <t>muzafferkhan667@gmail.com</t>
  </si>
  <si>
    <t xml:space="preserve">Md Sohail Shaikh </t>
  </si>
  <si>
    <t>sohailshaikh1942@gmail.com</t>
  </si>
  <si>
    <t xml:space="preserve">Deepali Tyagi </t>
  </si>
  <si>
    <t>tyagideepali628@gmail.com</t>
  </si>
  <si>
    <t>Certain amount transaction/transfer availability in offline mode</t>
  </si>
  <si>
    <t>Rifat Khan</t>
  </si>
  <si>
    <t>rehan2233khann@gmai.com</t>
  </si>
  <si>
    <t xml:space="preserve">Yashwant </t>
  </si>
  <si>
    <t xml:space="preserve"> yashwantmhad@gmail.com</t>
  </si>
  <si>
    <t xml:space="preserve">Offline Payment </t>
  </si>
  <si>
    <t xml:space="preserve">Anil ughade </t>
  </si>
  <si>
    <t xml:space="preserve">Omkar </t>
  </si>
  <si>
    <t>omkar2102j@gmail.com</t>
  </si>
  <si>
    <t>Neha patil</t>
  </si>
  <si>
    <t>nehayogeshpatil@gmail.com</t>
  </si>
  <si>
    <t xml:space="preserve">Sohil shakil shaikh </t>
  </si>
  <si>
    <t>shaikh150698@gmail.com</t>
  </si>
  <si>
    <t xml:space="preserve">Ashish wadhwa </t>
  </si>
  <si>
    <t>wadhwaaashish666@gmail.com</t>
  </si>
  <si>
    <t xml:space="preserve">Priyanshu Tiwari </t>
  </si>
  <si>
    <t>priyanshut2005@gmail.com</t>
  </si>
  <si>
    <t>UPI is safe and so easy to use..  i will suggest that every one should use UPI .</t>
  </si>
  <si>
    <t xml:space="preserve">Sufiyan shaikh </t>
  </si>
  <si>
    <t>nazirshaikh4568@gmail.com</t>
  </si>
  <si>
    <t xml:space="preserve">Cashback on every transaction </t>
  </si>
  <si>
    <t xml:space="preserve">Tirth </t>
  </si>
  <si>
    <t>tirth23nrl@gmail.com</t>
  </si>
  <si>
    <t>Ambernath @gmail.com</t>
  </si>
  <si>
    <t>Unr 2@gmail.com</t>
  </si>
  <si>
    <t>N A</t>
  </si>
  <si>
    <t>Email</t>
  </si>
  <si>
    <t>Age_Group</t>
  </si>
  <si>
    <t>Uses_UPI</t>
  </si>
  <si>
    <t>Freq_per_week</t>
  </si>
  <si>
    <t>Issues_Flag</t>
  </si>
  <si>
    <t>Perceive_Secure</t>
  </si>
  <si>
    <t>Perceive_Benefit</t>
  </si>
  <si>
    <t>Primary_Reasons</t>
  </si>
  <si>
    <t>NonUser_Reason</t>
  </si>
  <si>
    <t>Purpose_Main</t>
  </si>
  <si>
    <t>Primary_App</t>
  </si>
  <si>
    <t>Respondent_ID</t>
  </si>
  <si>
    <t>Extra_features</t>
  </si>
  <si>
    <t>Freq_Clean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</si>
</sst>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0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m/d/yyyy\ h:mm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726BD73A-55A0-44B1-A115-16B461FDB8FD}">
      <tableStyleElement type="wholeTable" size="0" dxfId="39"/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2EA3E-E923-46F3-B805-2959A6604379}" autoFormatId="16" applyNumberFormats="0" applyBorderFormats="0" applyFontFormats="0" applyPatternFormats="0" applyAlignmentFormats="0" applyWidthHeightFormats="0">
  <queryTableRefresh nextId="18">
    <queryTableFields count="16">
      <queryTableField id="1" name="Respondent_ID" tableColumnId="16"/>
      <queryTableField id="2" name="Timestamp" tableColumnId="2"/>
      <queryTableField id="3" name="Name" tableColumnId="3"/>
      <queryTableField id="4" name="Email" tableColumnId="4"/>
      <queryTableField id="5" name="Age_Group" tableColumnId="5"/>
      <queryTableField id="6" name="Uses_UPI" tableColumnId="6"/>
      <queryTableField id="7" name="Primary_App" tableColumnId="7"/>
      <queryTableField id="8" name="Freq_per_week" tableColumnId="8"/>
      <queryTableField id="16" dataBound="0" tableColumnId="1"/>
      <queryTableField id="9" name="Purpose_Main" tableColumnId="9"/>
      <queryTableField id="10" name="Issues_Flag" tableColumnId="10"/>
      <queryTableField id="11" name="Perceive_Secure" tableColumnId="11"/>
      <queryTableField id="12" name="Perceive_Benefit" tableColumnId="12"/>
      <queryTableField id="13" name="Primary_Reasons" tableColumnId="13"/>
      <queryTableField id="14" name="NonUser_Reason" tableColumnId="14"/>
      <queryTableField id="15" name="Extra_feature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EDE99-7FFC-4B0D-8719-5D869FD645BC}" name="Form_Responses" displayName="Form_Responses" ref="A1:O61" headerRowDxfId="35" dataDxfId="34" totalsRowDxfId="33">
  <tableColumns count="15">
    <tableColumn id="16" xr3:uid="{CBBEE005-2923-4641-BAB3-19AD732D84FF}" name="Respondent_ID" dataDxfId="32"/>
    <tableColumn id="15" xr3:uid="{5B207400-B31E-4AE5-B906-94C4968BE7A7}" name="Timestamp" dataDxfId="31"/>
    <tableColumn id="2" xr3:uid="{73E92356-B503-4E2F-81A7-2E3EBE888627}" name="Name" dataDxfId="30"/>
    <tableColumn id="3" xr3:uid="{5243931A-90AC-4F7C-9339-C306DF6910B3}" name="Email" dataDxfId="29"/>
    <tableColumn id="4" xr3:uid="{3310044B-2D38-4BAA-BA47-9F8BDC5D2FB9}" name="Age_Group" dataDxfId="28"/>
    <tableColumn id="5" xr3:uid="{BFCACFF2-00F6-4D33-9605-2C061673BD1E}" name="Uses_UPI" dataDxfId="27"/>
    <tableColumn id="6" xr3:uid="{9A465610-9FCC-49BF-B206-B7BB4D103CA1}" name="Primary_App" dataDxfId="26"/>
    <tableColumn id="7" xr3:uid="{208195B9-31A7-4C73-8A8E-7A813827C37F}" name="Freq_per_week" dataDxfId="25"/>
    <tableColumn id="8" xr3:uid="{544922AC-90B5-43B5-88FA-CF6B1E9FAA6D}" name="Purpose_Main" dataDxfId="24"/>
    <tableColumn id="9" xr3:uid="{81DFC1F6-B558-4729-AE60-776C728CD2CD}" name="Issues_Flag" dataDxfId="23"/>
    <tableColumn id="10" xr3:uid="{671FD804-21D9-41F8-BC95-CD00C4C66264}" name="Perceive_Secure" dataDxfId="22"/>
    <tableColumn id="11" xr3:uid="{94BE4233-CFB1-4F24-A22C-AD9BB6BF7E97}" name="Perceive_Benefit" dataDxfId="21"/>
    <tableColumn id="12" xr3:uid="{ADC9B8A2-3B06-4728-9DB1-44F7271CC407}" name="Primary_Reasons" dataDxfId="20"/>
    <tableColumn id="13" xr3:uid="{62410349-752B-4F27-9DF7-172E7109EC39}" name="NonUser_Reason" dataDxfId="19"/>
    <tableColumn id="14" xr3:uid="{2FABEB2A-FB43-466E-8725-E4C198A18697}" name="Extra_features" dataDxfId="18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BD8D9-CAC9-409B-9E0B-0A372C34A76A}" name="tbl_UPI" displayName="tbl_UPI" ref="A1:P61" tableType="queryTable" totalsRowShown="0" headerRowDxfId="17" dataDxfId="16">
  <autoFilter ref="A1:P61" xr:uid="{8EABD8D9-CAC9-409B-9E0B-0A372C34A76A}"/>
  <tableColumns count="16">
    <tableColumn id="16" xr3:uid="{ED29B9A7-5A64-45AE-B5DB-09987EC4AE58}" uniqueName="16" name="Respondent_ID" queryTableFieldId="1" dataDxfId="15"/>
    <tableColumn id="2" xr3:uid="{F53D3BAC-1055-4D37-AA96-6A6D0D6F26B6}" uniqueName="2" name="Timestamp" queryTableFieldId="2" dataDxfId="14"/>
    <tableColumn id="3" xr3:uid="{59FD9079-F8D7-443A-AB42-51271FB31309}" uniqueName="3" name="Name" queryTableFieldId="3" dataDxfId="13"/>
    <tableColumn id="4" xr3:uid="{63BBA66E-F033-4968-BC43-A19C80F3FFE7}" uniqueName="4" name="Email" queryTableFieldId="4" dataDxfId="12"/>
    <tableColumn id="5" xr3:uid="{51E31202-1F12-42B1-85B8-BDF6D4B932B6}" uniqueName="5" name="Age_Group" queryTableFieldId="5" dataDxfId="11"/>
    <tableColumn id="6" xr3:uid="{FAE263C4-543C-47ED-8689-2063C98BF985}" uniqueName="6" name="Uses_UPI" queryTableFieldId="6" dataDxfId="10"/>
    <tableColumn id="7" xr3:uid="{CC26AFA3-3987-44FC-8411-B791D4575ADD}" uniqueName="7" name="Primary_App" queryTableFieldId="7" dataDxfId="9"/>
    <tableColumn id="8" xr3:uid="{7C34E01A-E653-4B63-B4C1-BFF0A79F26F0}" uniqueName="8" name="Freq_per_week" queryTableFieldId="8" dataDxfId="8"/>
    <tableColumn id="1" xr3:uid="{C2E44FF3-E184-460A-9AD6-0210CB063136}" uniqueName="1" name="Freq_Clean" queryTableFieldId="16" dataDxfId="7">
      <calculatedColumnFormula>TRIM(tbl_UPI[[#This Row],[Freq_per_week]])</calculatedColumnFormula>
    </tableColumn>
    <tableColumn id="9" xr3:uid="{179CDE78-2529-4741-B88D-2363D3426810}" uniqueName="9" name="Purpose_Main" queryTableFieldId="9" dataDxfId="6"/>
    <tableColumn id="10" xr3:uid="{116EB41E-20E6-4CBA-AC6D-B95A5147FA35}" uniqueName="10" name="Issues_Flag" queryTableFieldId="10" dataDxfId="5"/>
    <tableColumn id="11" xr3:uid="{8DF70DF1-9A70-48A8-99C2-9064C3398CD4}" uniqueName="11" name="Perceive_Secure" queryTableFieldId="11" dataDxfId="4"/>
    <tableColumn id="12" xr3:uid="{8AD11AC8-022D-4064-B8E8-6B6A4D8BEA74}" uniqueName="12" name="Perceive_Benefit" queryTableFieldId="12" dataDxfId="3"/>
    <tableColumn id="13" xr3:uid="{6FDF8084-9415-4D95-B5A6-45354C099BBC}" uniqueName="13" name="Primary_Reasons" queryTableFieldId="13" dataDxfId="2"/>
    <tableColumn id="14" xr3:uid="{C924A84D-F274-4DF5-B8FB-A47F374EEB0D}" uniqueName="14" name="NonUser_Reason" queryTableFieldId="14" dataDxfId="1"/>
    <tableColumn id="15" xr3:uid="{E7B5B67D-376E-4369-BB27-394254003C8F}" uniqueName="15" name="Extra_feature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khan2233reha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75DB-B084-491E-BCD8-032237DDCCE2}">
  <dimension ref="A1:O61"/>
  <sheetViews>
    <sheetView topLeftCell="C1" zoomScale="110" zoomScaleNormal="110" workbookViewId="0">
      <selection activeCell="A19" sqref="A19"/>
    </sheetView>
  </sheetViews>
  <sheetFormatPr defaultColWidth="12.5703125" defaultRowHeight="12.75" x14ac:dyDescent="0.25"/>
  <cols>
    <col min="1" max="1" width="16" style="1" bestFit="1" customWidth="1"/>
    <col min="2" max="2" width="16.140625" style="1" bestFit="1" customWidth="1"/>
    <col min="3" max="3" width="24.28515625" style="1" bestFit="1" customWidth="1"/>
    <col min="4" max="4" width="30.85546875" style="1" bestFit="1" customWidth="1"/>
    <col min="5" max="5" width="10.85546875" style="1" bestFit="1" customWidth="1"/>
    <col min="6" max="6" width="9.5703125" style="1" bestFit="1" customWidth="1"/>
    <col min="7" max="7" width="12.140625" style="1" bestFit="1" customWidth="1"/>
    <col min="8" max="8" width="14.5703125" style="1" bestFit="1" customWidth="1"/>
    <col min="9" max="9" width="21.85546875" style="1" bestFit="1" customWidth="1"/>
    <col min="10" max="10" width="11.140625" style="1" bestFit="1" customWidth="1"/>
    <col min="11" max="11" width="15.42578125" style="1" bestFit="1" customWidth="1"/>
    <col min="12" max="12" width="15.85546875" style="1" bestFit="1" customWidth="1"/>
    <col min="13" max="13" width="46.5703125" style="1" bestFit="1" customWidth="1"/>
    <col min="14" max="14" width="41" style="1" bestFit="1" customWidth="1"/>
    <col min="15" max="15" width="126.7109375" style="1" bestFit="1" customWidth="1"/>
    <col min="16" max="21" width="18.85546875" style="1" customWidth="1"/>
    <col min="22" max="16384" width="12.5703125" style="1"/>
  </cols>
  <sheetData>
    <row r="1" spans="1:15" ht="15" x14ac:dyDescent="0.25">
      <c r="A1" s="6" t="s">
        <v>177</v>
      </c>
      <c r="B1" s="2" t="s">
        <v>0</v>
      </c>
      <c r="C1" s="2" t="s">
        <v>1</v>
      </c>
      <c r="D1" s="2" t="s">
        <v>166</v>
      </c>
      <c r="E1" s="2" t="s">
        <v>167</v>
      </c>
      <c r="F1" s="2" t="s">
        <v>168</v>
      </c>
      <c r="G1" s="2" t="s">
        <v>176</v>
      </c>
      <c r="H1" s="2" t="s">
        <v>169</v>
      </c>
      <c r="I1" s="2" t="s">
        <v>175</v>
      </c>
      <c r="J1" s="2" t="s">
        <v>170</v>
      </c>
      <c r="K1" s="2" t="s">
        <v>171</v>
      </c>
      <c r="L1" s="2" t="s">
        <v>172</v>
      </c>
      <c r="M1" s="2" t="s">
        <v>173</v>
      </c>
      <c r="N1" s="2" t="s">
        <v>174</v>
      </c>
      <c r="O1" s="2" t="s">
        <v>178</v>
      </c>
    </row>
    <row r="2" spans="1:15" ht="15" x14ac:dyDescent="0.25">
      <c r="A2" s="4">
        <v>1</v>
      </c>
      <c r="B2" s="3">
        <v>45955.796875</v>
      </c>
      <c r="C2" s="4" t="s">
        <v>2</v>
      </c>
      <c r="D2" s="7" t="s">
        <v>165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4</v>
      </c>
      <c r="L2" s="4" t="s">
        <v>4</v>
      </c>
      <c r="M2" s="4" t="s">
        <v>9</v>
      </c>
      <c r="N2" s="4" t="s">
        <v>10</v>
      </c>
      <c r="O2" s="4" t="s">
        <v>63</v>
      </c>
    </row>
    <row r="3" spans="1:15" ht="15" x14ac:dyDescent="0.25">
      <c r="A3" s="4">
        <v>2</v>
      </c>
      <c r="B3" s="3">
        <v>45955.797788171301</v>
      </c>
      <c r="C3" s="4" t="s">
        <v>11</v>
      </c>
      <c r="D3" s="7" t="s">
        <v>12</v>
      </c>
      <c r="E3" s="4" t="s">
        <v>3</v>
      </c>
      <c r="F3" s="4" t="s">
        <v>4</v>
      </c>
      <c r="G3" s="4" t="s">
        <v>13</v>
      </c>
      <c r="H3" s="4" t="s">
        <v>6</v>
      </c>
      <c r="I3" s="4" t="s">
        <v>14</v>
      </c>
      <c r="J3" s="4" t="s">
        <v>8</v>
      </c>
      <c r="K3" s="4" t="s">
        <v>4</v>
      </c>
      <c r="L3" s="4" t="s">
        <v>4</v>
      </c>
      <c r="M3" s="4" t="s">
        <v>15</v>
      </c>
      <c r="N3" s="4" t="s">
        <v>16</v>
      </c>
      <c r="O3" s="4" t="s">
        <v>63</v>
      </c>
    </row>
    <row r="4" spans="1:15" ht="38.25" x14ac:dyDescent="0.25">
      <c r="A4" s="4">
        <v>3</v>
      </c>
      <c r="B4" s="3">
        <v>45955.803057962963</v>
      </c>
      <c r="C4" s="4" t="s">
        <v>17</v>
      </c>
      <c r="D4" s="4" t="s">
        <v>18</v>
      </c>
      <c r="E4" s="4" t="s">
        <v>3</v>
      </c>
      <c r="F4" s="4" t="s">
        <v>4</v>
      </c>
      <c r="G4" s="4" t="s">
        <v>5</v>
      </c>
      <c r="H4" s="4" t="s">
        <v>19</v>
      </c>
      <c r="I4" s="4" t="s">
        <v>7</v>
      </c>
      <c r="J4" s="4" t="s">
        <v>8</v>
      </c>
      <c r="K4" s="4" t="s">
        <v>4</v>
      </c>
      <c r="L4" s="4" t="s">
        <v>4</v>
      </c>
      <c r="M4" s="4" t="s">
        <v>15</v>
      </c>
      <c r="N4" s="4" t="s">
        <v>10</v>
      </c>
      <c r="O4" s="5" t="s">
        <v>20</v>
      </c>
    </row>
    <row r="5" spans="1:15" ht="15" x14ac:dyDescent="0.25">
      <c r="A5" s="4">
        <v>4</v>
      </c>
      <c r="B5" s="3">
        <v>45955.804907407408</v>
      </c>
      <c r="C5" s="4" t="s">
        <v>21</v>
      </c>
      <c r="D5" s="7" t="s">
        <v>165</v>
      </c>
      <c r="E5" s="4" t="s">
        <v>3</v>
      </c>
      <c r="F5" s="4" t="s">
        <v>4</v>
      </c>
      <c r="G5" s="4" t="s">
        <v>5</v>
      </c>
      <c r="H5" s="4" t="s">
        <v>22</v>
      </c>
      <c r="I5" s="4" t="s">
        <v>23</v>
      </c>
      <c r="J5" s="4" t="s">
        <v>8</v>
      </c>
      <c r="K5" s="4" t="s">
        <v>8</v>
      </c>
      <c r="L5" s="4" t="s">
        <v>4</v>
      </c>
      <c r="M5" s="4" t="s">
        <v>9</v>
      </c>
      <c r="N5" s="4" t="s">
        <v>10</v>
      </c>
      <c r="O5" s="4" t="s">
        <v>63</v>
      </c>
    </row>
    <row r="6" spans="1:15" x14ac:dyDescent="0.25">
      <c r="A6" s="4">
        <v>5</v>
      </c>
      <c r="B6" s="3">
        <v>45955.805817511573</v>
      </c>
      <c r="C6" s="4" t="s">
        <v>24</v>
      </c>
      <c r="D6" s="4" t="s">
        <v>25</v>
      </c>
      <c r="E6" s="4" t="s">
        <v>3</v>
      </c>
      <c r="F6" s="4" t="s">
        <v>4</v>
      </c>
      <c r="G6" s="4" t="s">
        <v>26</v>
      </c>
      <c r="H6" s="4" t="s">
        <v>6</v>
      </c>
      <c r="I6" s="4" t="s">
        <v>27</v>
      </c>
      <c r="J6" s="4" t="s">
        <v>8</v>
      </c>
      <c r="K6" s="4" t="s">
        <v>4</v>
      </c>
      <c r="L6" s="4" t="s">
        <v>4</v>
      </c>
      <c r="M6" s="4" t="s">
        <v>9</v>
      </c>
      <c r="N6" s="4" t="s">
        <v>28</v>
      </c>
      <c r="O6" s="4" t="s">
        <v>63</v>
      </c>
    </row>
    <row r="7" spans="1:15" x14ac:dyDescent="0.25">
      <c r="A7" s="4">
        <v>6</v>
      </c>
      <c r="B7" s="3">
        <v>45955.805877592589</v>
      </c>
      <c r="C7" s="4" t="s">
        <v>29</v>
      </c>
      <c r="D7" s="4" t="s">
        <v>30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4</v>
      </c>
      <c r="L7" s="4" t="s">
        <v>4</v>
      </c>
      <c r="M7" s="4" t="s">
        <v>15</v>
      </c>
      <c r="N7" s="4" t="s">
        <v>10</v>
      </c>
      <c r="O7" s="4" t="s">
        <v>63</v>
      </c>
    </row>
    <row r="8" spans="1:15" x14ac:dyDescent="0.25">
      <c r="A8" s="4">
        <v>7</v>
      </c>
      <c r="B8" s="3">
        <v>45955.807959085651</v>
      </c>
      <c r="C8" s="4" t="s">
        <v>31</v>
      </c>
      <c r="D8" s="4" t="s">
        <v>32</v>
      </c>
      <c r="E8" s="4" t="s">
        <v>3</v>
      </c>
      <c r="F8" s="4" t="s">
        <v>4</v>
      </c>
      <c r="G8" s="4" t="s">
        <v>5</v>
      </c>
      <c r="H8" s="4" t="s">
        <v>22</v>
      </c>
      <c r="I8" s="4" t="s">
        <v>23</v>
      </c>
      <c r="J8" s="4" t="s">
        <v>4</v>
      </c>
      <c r="K8" s="4" t="s">
        <v>8</v>
      </c>
      <c r="L8" s="4" t="s">
        <v>4</v>
      </c>
      <c r="M8" s="4" t="s">
        <v>33</v>
      </c>
      <c r="N8" s="4" t="s">
        <v>16</v>
      </c>
      <c r="O8" s="4" t="s">
        <v>63</v>
      </c>
    </row>
    <row r="9" spans="1:15" x14ac:dyDescent="0.25">
      <c r="A9" s="4">
        <v>8</v>
      </c>
      <c r="B9" s="3">
        <v>45955.808638854171</v>
      </c>
      <c r="C9" s="4" t="s">
        <v>34</v>
      </c>
      <c r="D9" s="4" t="s">
        <v>35</v>
      </c>
      <c r="E9" s="4" t="s">
        <v>3</v>
      </c>
      <c r="F9" s="4" t="s">
        <v>4</v>
      </c>
      <c r="G9" s="4" t="s">
        <v>5</v>
      </c>
      <c r="H9" s="4" t="s">
        <v>19</v>
      </c>
      <c r="I9" s="4" t="s">
        <v>23</v>
      </c>
      <c r="J9" s="4" t="s">
        <v>8</v>
      </c>
      <c r="K9" s="4" t="s">
        <v>4</v>
      </c>
      <c r="L9" s="4" t="s">
        <v>4</v>
      </c>
      <c r="M9" s="4" t="s">
        <v>15</v>
      </c>
      <c r="N9" s="4" t="s">
        <v>10</v>
      </c>
      <c r="O9" s="4" t="s">
        <v>36</v>
      </c>
    </row>
    <row r="10" spans="1:15" x14ac:dyDescent="0.25">
      <c r="A10" s="4">
        <v>9</v>
      </c>
      <c r="B10" s="3">
        <v>45955.808697476852</v>
      </c>
      <c r="C10" s="4" t="s">
        <v>37</v>
      </c>
      <c r="D10" s="4" t="s">
        <v>38</v>
      </c>
      <c r="E10" s="4" t="s">
        <v>3</v>
      </c>
      <c r="F10" s="4" t="s">
        <v>4</v>
      </c>
      <c r="G10" s="4" t="s">
        <v>39</v>
      </c>
      <c r="H10" s="4" t="s">
        <v>19</v>
      </c>
      <c r="I10" s="4" t="s">
        <v>27</v>
      </c>
      <c r="J10" s="4" t="s">
        <v>8</v>
      </c>
      <c r="K10" s="4" t="s">
        <v>4</v>
      </c>
      <c r="L10" s="4" t="s">
        <v>4</v>
      </c>
      <c r="M10" s="4" t="s">
        <v>15</v>
      </c>
      <c r="N10" s="4" t="s">
        <v>10</v>
      </c>
      <c r="O10" s="4" t="s">
        <v>40</v>
      </c>
    </row>
    <row r="11" spans="1:15" x14ac:dyDescent="0.25">
      <c r="A11" s="4">
        <v>10</v>
      </c>
      <c r="B11" s="3">
        <v>45955.80971454861</v>
      </c>
      <c r="C11" s="4" t="s">
        <v>41</v>
      </c>
      <c r="D11" s="4" t="s">
        <v>42</v>
      </c>
      <c r="E11" s="4" t="s">
        <v>43</v>
      </c>
      <c r="F11" s="4" t="s">
        <v>4</v>
      </c>
      <c r="G11" s="4" t="s">
        <v>13</v>
      </c>
      <c r="H11" s="4" t="s">
        <v>22</v>
      </c>
      <c r="I11" s="4" t="s">
        <v>7</v>
      </c>
      <c r="J11" s="4" t="s">
        <v>4</v>
      </c>
      <c r="K11" s="4" t="s">
        <v>4</v>
      </c>
      <c r="L11" s="4" t="s">
        <v>8</v>
      </c>
      <c r="M11" s="4" t="s">
        <v>44</v>
      </c>
      <c r="N11" s="4" t="s">
        <v>28</v>
      </c>
      <c r="O11" s="4" t="s">
        <v>63</v>
      </c>
    </row>
    <row r="12" spans="1:15" x14ac:dyDescent="0.25">
      <c r="A12" s="4">
        <v>11</v>
      </c>
      <c r="B12" s="3">
        <v>45955.811651053242</v>
      </c>
      <c r="C12" s="4" t="s">
        <v>45</v>
      </c>
      <c r="D12" s="4" t="s">
        <v>46</v>
      </c>
      <c r="E12" s="4" t="s">
        <v>3</v>
      </c>
      <c r="F12" s="4" t="s">
        <v>4</v>
      </c>
      <c r="G12" s="4" t="s">
        <v>5</v>
      </c>
      <c r="H12" s="4" t="s">
        <v>19</v>
      </c>
      <c r="I12" s="4" t="s">
        <v>27</v>
      </c>
      <c r="J12" s="4" t="s">
        <v>8</v>
      </c>
      <c r="K12" s="4" t="s">
        <v>4</v>
      </c>
      <c r="L12" s="4" t="s">
        <v>4</v>
      </c>
      <c r="M12" s="4" t="s">
        <v>15</v>
      </c>
      <c r="N12" s="4" t="s">
        <v>16</v>
      </c>
      <c r="O12" s="4" t="s">
        <v>47</v>
      </c>
    </row>
    <row r="13" spans="1:15" x14ac:dyDescent="0.25">
      <c r="A13" s="4">
        <v>12</v>
      </c>
      <c r="B13" s="3">
        <v>45955.814545254631</v>
      </c>
      <c r="C13" s="4" t="s">
        <v>48</v>
      </c>
      <c r="D13" s="4" t="s">
        <v>49</v>
      </c>
      <c r="E13" s="4" t="s">
        <v>3</v>
      </c>
      <c r="F13" s="4" t="s">
        <v>4</v>
      </c>
      <c r="G13" s="4" t="s">
        <v>13</v>
      </c>
      <c r="H13" s="4" t="s">
        <v>19</v>
      </c>
      <c r="I13" s="4" t="s">
        <v>7</v>
      </c>
      <c r="J13" s="4" t="s">
        <v>8</v>
      </c>
      <c r="K13" s="4" t="s">
        <v>4</v>
      </c>
      <c r="L13" s="4" t="s">
        <v>4</v>
      </c>
      <c r="M13" s="4" t="s">
        <v>33</v>
      </c>
      <c r="N13" s="4" t="s">
        <v>10</v>
      </c>
      <c r="O13" s="4" t="s">
        <v>50</v>
      </c>
    </row>
    <row r="14" spans="1:15" x14ac:dyDescent="0.25">
      <c r="A14" s="4">
        <v>13</v>
      </c>
      <c r="B14" s="3">
        <v>45955.815902118055</v>
      </c>
      <c r="C14" s="4" t="s">
        <v>51</v>
      </c>
      <c r="D14" s="4" t="s">
        <v>52</v>
      </c>
      <c r="E14" s="4" t="s">
        <v>53</v>
      </c>
      <c r="F14" s="4" t="s">
        <v>4</v>
      </c>
      <c r="G14" s="4" t="s">
        <v>5</v>
      </c>
      <c r="H14" s="4" t="s">
        <v>19</v>
      </c>
      <c r="I14" s="4" t="s">
        <v>27</v>
      </c>
      <c r="J14" s="4" t="s">
        <v>8</v>
      </c>
      <c r="K14" s="4" t="s">
        <v>4</v>
      </c>
      <c r="L14" s="4" t="s">
        <v>4</v>
      </c>
      <c r="M14" s="4" t="s">
        <v>15</v>
      </c>
      <c r="N14" s="4" t="s">
        <v>10</v>
      </c>
      <c r="O14" s="4" t="s">
        <v>63</v>
      </c>
    </row>
    <row r="15" spans="1:15" x14ac:dyDescent="0.25">
      <c r="A15" s="4">
        <v>14</v>
      </c>
      <c r="B15" s="3">
        <v>45955.819725046298</v>
      </c>
      <c r="C15" s="4" t="s">
        <v>54</v>
      </c>
      <c r="D15" s="4" t="s">
        <v>55</v>
      </c>
      <c r="E15" s="4" t="s">
        <v>3</v>
      </c>
      <c r="F15" s="4" t="s">
        <v>4</v>
      </c>
      <c r="G15" s="4" t="s">
        <v>5</v>
      </c>
      <c r="H15" s="4" t="s">
        <v>22</v>
      </c>
      <c r="I15" s="4" t="s">
        <v>27</v>
      </c>
      <c r="J15" s="4" t="s">
        <v>8</v>
      </c>
      <c r="K15" s="4" t="s">
        <v>4</v>
      </c>
      <c r="L15" s="4" t="s">
        <v>4</v>
      </c>
      <c r="M15" s="4" t="s">
        <v>9</v>
      </c>
      <c r="N15" s="4" t="s">
        <v>10</v>
      </c>
      <c r="O15" s="4" t="s">
        <v>63</v>
      </c>
    </row>
    <row r="16" spans="1:15" x14ac:dyDescent="0.25">
      <c r="A16" s="4">
        <v>15</v>
      </c>
      <c r="B16" s="3">
        <v>45955.828903715279</v>
      </c>
      <c r="C16" s="4" t="s">
        <v>56</v>
      </c>
      <c r="D16" s="4" t="s">
        <v>57</v>
      </c>
      <c r="E16" s="4" t="s">
        <v>43</v>
      </c>
      <c r="F16" s="4" t="s">
        <v>4</v>
      </c>
      <c r="G16" s="4" t="s">
        <v>58</v>
      </c>
      <c r="H16" s="4" t="s">
        <v>6</v>
      </c>
      <c r="I16" s="4" t="s">
        <v>27</v>
      </c>
      <c r="J16" s="4" t="s">
        <v>8</v>
      </c>
      <c r="K16" s="4" t="s">
        <v>4</v>
      </c>
      <c r="L16" s="4" t="s">
        <v>4</v>
      </c>
      <c r="M16" s="4" t="s">
        <v>15</v>
      </c>
      <c r="N16" s="4" t="s">
        <v>10</v>
      </c>
      <c r="O16" s="4" t="s">
        <v>63</v>
      </c>
    </row>
    <row r="17" spans="1:15" x14ac:dyDescent="0.25">
      <c r="A17" s="4">
        <v>16</v>
      </c>
      <c r="B17" s="3">
        <v>45955.829437696761</v>
      </c>
      <c r="C17" s="4" t="s">
        <v>59</v>
      </c>
      <c r="D17" s="4" t="s">
        <v>60</v>
      </c>
      <c r="E17" s="4" t="s">
        <v>43</v>
      </c>
      <c r="F17" s="4" t="s">
        <v>8</v>
      </c>
      <c r="G17" s="4" t="s">
        <v>26</v>
      </c>
      <c r="H17" s="4" t="s">
        <v>22</v>
      </c>
      <c r="I17" s="4" t="s">
        <v>14</v>
      </c>
      <c r="J17" s="4" t="s">
        <v>8</v>
      </c>
      <c r="K17" s="4" t="s">
        <v>8</v>
      </c>
      <c r="L17" s="4" t="s">
        <v>8</v>
      </c>
      <c r="M17" s="4" t="s">
        <v>15</v>
      </c>
      <c r="N17" s="4" t="s">
        <v>28</v>
      </c>
      <c r="O17" s="4" t="s">
        <v>63</v>
      </c>
    </row>
    <row r="18" spans="1:15" x14ac:dyDescent="0.25">
      <c r="A18" s="4">
        <v>17</v>
      </c>
      <c r="B18" s="3">
        <v>45955.834874201391</v>
      </c>
      <c r="C18" s="4" t="s">
        <v>61</v>
      </c>
      <c r="D18" s="4" t="s">
        <v>62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27</v>
      </c>
      <c r="J18" s="4" t="s">
        <v>8</v>
      </c>
      <c r="K18" s="4" t="s">
        <v>4</v>
      </c>
      <c r="L18" s="4" t="s">
        <v>4</v>
      </c>
      <c r="M18" s="4" t="s">
        <v>33</v>
      </c>
      <c r="N18" s="4" t="s">
        <v>10</v>
      </c>
      <c r="O18" s="4" t="s">
        <v>63</v>
      </c>
    </row>
    <row r="19" spans="1:15" ht="15" x14ac:dyDescent="0.25">
      <c r="A19" s="4">
        <v>18</v>
      </c>
      <c r="B19" s="3">
        <v>45955.836625243057</v>
      </c>
      <c r="C19" s="4" t="s">
        <v>64</v>
      </c>
      <c r="D19" s="7" t="s">
        <v>165</v>
      </c>
      <c r="E19" s="4" t="s">
        <v>53</v>
      </c>
      <c r="F19" s="4" t="s">
        <v>4</v>
      </c>
      <c r="G19" s="4" t="s">
        <v>5</v>
      </c>
      <c r="H19" s="4" t="s">
        <v>6</v>
      </c>
      <c r="I19" s="4" t="s">
        <v>23</v>
      </c>
      <c r="J19" s="4" t="s">
        <v>8</v>
      </c>
      <c r="K19" s="4" t="s">
        <v>4</v>
      </c>
      <c r="L19" s="4" t="s">
        <v>4</v>
      </c>
      <c r="M19" s="4" t="s">
        <v>9</v>
      </c>
      <c r="N19" s="4" t="s">
        <v>10</v>
      </c>
      <c r="O19" s="4" t="s">
        <v>63</v>
      </c>
    </row>
    <row r="20" spans="1:15" x14ac:dyDescent="0.25">
      <c r="A20" s="4">
        <v>19</v>
      </c>
      <c r="B20" s="3">
        <v>45955.837950810186</v>
      </c>
      <c r="C20" s="4" t="s">
        <v>65</v>
      </c>
      <c r="D20" s="4" t="s">
        <v>66</v>
      </c>
      <c r="E20" s="4" t="s">
        <v>3</v>
      </c>
      <c r="F20" s="4" t="s">
        <v>4</v>
      </c>
      <c r="G20" s="4" t="s">
        <v>5</v>
      </c>
      <c r="H20" s="4" t="s">
        <v>19</v>
      </c>
      <c r="I20" s="4" t="s">
        <v>14</v>
      </c>
      <c r="J20" s="4" t="s">
        <v>8</v>
      </c>
      <c r="K20" s="4" t="s">
        <v>4</v>
      </c>
      <c r="L20" s="4" t="s">
        <v>4</v>
      </c>
      <c r="M20" s="4" t="s">
        <v>44</v>
      </c>
      <c r="N20" s="4" t="s">
        <v>28</v>
      </c>
      <c r="O20" s="4" t="s">
        <v>63</v>
      </c>
    </row>
    <row r="21" spans="1:15" x14ac:dyDescent="0.25">
      <c r="A21" s="4">
        <v>20</v>
      </c>
      <c r="B21" s="3">
        <v>45955.83798762731</v>
      </c>
      <c r="C21" s="4" t="s">
        <v>67</v>
      </c>
      <c r="D21" s="4" t="s">
        <v>68</v>
      </c>
      <c r="E21" s="4" t="s">
        <v>3</v>
      </c>
      <c r="F21" s="4" t="s">
        <v>4</v>
      </c>
      <c r="G21" s="4" t="s">
        <v>5</v>
      </c>
      <c r="H21" s="4" t="s">
        <v>22</v>
      </c>
      <c r="I21" s="4" t="s">
        <v>27</v>
      </c>
      <c r="J21" s="4" t="s">
        <v>4</v>
      </c>
      <c r="K21" s="4" t="s">
        <v>4</v>
      </c>
      <c r="L21" s="4" t="s">
        <v>4</v>
      </c>
      <c r="M21" s="4" t="s">
        <v>15</v>
      </c>
      <c r="N21" s="4" t="s">
        <v>16</v>
      </c>
      <c r="O21" s="4" t="s">
        <v>63</v>
      </c>
    </row>
    <row r="22" spans="1:15" x14ac:dyDescent="0.25">
      <c r="A22" s="4">
        <v>21</v>
      </c>
      <c r="B22" s="3">
        <v>45955.838909062499</v>
      </c>
      <c r="C22" s="4" t="s">
        <v>69</v>
      </c>
      <c r="D22" s="4" t="s">
        <v>70</v>
      </c>
      <c r="E22" s="4" t="s">
        <v>53</v>
      </c>
      <c r="F22" s="4" t="s">
        <v>4</v>
      </c>
      <c r="G22" s="4" t="s">
        <v>13</v>
      </c>
      <c r="H22" s="4" t="s">
        <v>19</v>
      </c>
      <c r="I22" s="4" t="s">
        <v>23</v>
      </c>
      <c r="J22" s="4" t="s">
        <v>8</v>
      </c>
      <c r="K22" s="4" t="s">
        <v>4</v>
      </c>
      <c r="L22" s="4" t="s">
        <v>4</v>
      </c>
      <c r="M22" s="4" t="s">
        <v>15</v>
      </c>
      <c r="N22" s="4" t="s">
        <v>10</v>
      </c>
      <c r="O22" s="4" t="s">
        <v>63</v>
      </c>
    </row>
    <row r="23" spans="1:15" x14ac:dyDescent="0.25">
      <c r="A23" s="4">
        <v>22</v>
      </c>
      <c r="B23" s="3">
        <v>45955.840727430557</v>
      </c>
      <c r="C23" s="4" t="s">
        <v>71</v>
      </c>
      <c r="D23" s="4" t="s">
        <v>60</v>
      </c>
      <c r="E23" s="4" t="s">
        <v>43</v>
      </c>
      <c r="F23" s="4" t="s">
        <v>4</v>
      </c>
      <c r="G23" s="4" t="s">
        <v>5</v>
      </c>
      <c r="H23" s="4" t="s">
        <v>19</v>
      </c>
      <c r="I23" s="4" t="s">
        <v>14</v>
      </c>
      <c r="J23" s="4" t="s">
        <v>4</v>
      </c>
      <c r="K23" s="4" t="s">
        <v>8</v>
      </c>
      <c r="L23" s="4" t="s">
        <v>8</v>
      </c>
      <c r="M23" s="4" t="s">
        <v>72</v>
      </c>
      <c r="N23" s="4" t="s">
        <v>28</v>
      </c>
      <c r="O23" s="4" t="s">
        <v>63</v>
      </c>
    </row>
    <row r="24" spans="1:15" x14ac:dyDescent="0.25">
      <c r="A24" s="4">
        <v>23</v>
      </c>
      <c r="B24" s="3">
        <v>45955.841352777774</v>
      </c>
      <c r="C24" s="4" t="s">
        <v>73</v>
      </c>
      <c r="D24" s="4" t="s">
        <v>74</v>
      </c>
      <c r="E24" s="4" t="s">
        <v>3</v>
      </c>
      <c r="F24" s="4" t="s">
        <v>4</v>
      </c>
      <c r="G24" s="4" t="s">
        <v>5</v>
      </c>
      <c r="H24" s="4" t="s">
        <v>19</v>
      </c>
      <c r="I24" s="4" t="s">
        <v>27</v>
      </c>
      <c r="J24" s="4" t="s">
        <v>8</v>
      </c>
      <c r="K24" s="4" t="s">
        <v>4</v>
      </c>
      <c r="L24" s="4" t="s">
        <v>4</v>
      </c>
      <c r="M24" s="4" t="s">
        <v>9</v>
      </c>
      <c r="N24" s="4" t="s">
        <v>28</v>
      </c>
      <c r="O24" s="4" t="s">
        <v>75</v>
      </c>
    </row>
    <row r="25" spans="1:15" x14ac:dyDescent="0.25">
      <c r="A25" s="4">
        <v>24</v>
      </c>
      <c r="B25" s="3">
        <v>45955.844175289356</v>
      </c>
      <c r="C25" s="4" t="s">
        <v>76</v>
      </c>
      <c r="D25" s="4" t="s">
        <v>77</v>
      </c>
      <c r="E25" s="4" t="s">
        <v>78</v>
      </c>
      <c r="F25" s="4" t="s">
        <v>4</v>
      </c>
      <c r="G25" s="4" t="s">
        <v>5</v>
      </c>
      <c r="H25" s="4" t="s">
        <v>6</v>
      </c>
      <c r="I25" s="4" t="s">
        <v>23</v>
      </c>
      <c r="J25" s="4" t="s">
        <v>4</v>
      </c>
      <c r="K25" s="4" t="s">
        <v>8</v>
      </c>
      <c r="L25" s="4" t="s">
        <v>4</v>
      </c>
      <c r="M25" s="4" t="s">
        <v>9</v>
      </c>
      <c r="N25" s="4" t="s">
        <v>79</v>
      </c>
      <c r="O25" s="4" t="s">
        <v>4</v>
      </c>
    </row>
    <row r="26" spans="1:15" x14ac:dyDescent="0.25">
      <c r="A26" s="4">
        <v>25</v>
      </c>
      <c r="B26" s="3">
        <v>45955.845383680557</v>
      </c>
      <c r="C26" s="4" t="s">
        <v>80</v>
      </c>
      <c r="D26" s="4" t="s">
        <v>81</v>
      </c>
      <c r="E26" s="4" t="s">
        <v>3</v>
      </c>
      <c r="F26" s="4" t="s">
        <v>4</v>
      </c>
      <c r="G26" s="4" t="s">
        <v>5</v>
      </c>
      <c r="H26" s="4" t="s">
        <v>22</v>
      </c>
      <c r="I26" s="4" t="s">
        <v>14</v>
      </c>
      <c r="J26" s="4" t="s">
        <v>8</v>
      </c>
      <c r="K26" s="4" t="s">
        <v>4</v>
      </c>
      <c r="L26" s="4" t="s">
        <v>4</v>
      </c>
      <c r="M26" s="4" t="s">
        <v>33</v>
      </c>
      <c r="N26" s="4" t="s">
        <v>10</v>
      </c>
      <c r="O26" s="4" t="s">
        <v>63</v>
      </c>
    </row>
    <row r="27" spans="1:15" x14ac:dyDescent="0.25">
      <c r="A27" s="4">
        <v>26</v>
      </c>
      <c r="B27" s="3">
        <v>45955.848582743056</v>
      </c>
      <c r="C27" s="4" t="s">
        <v>82</v>
      </c>
      <c r="D27" s="4" t="s">
        <v>163</v>
      </c>
      <c r="E27" s="4" t="s">
        <v>3</v>
      </c>
      <c r="F27" s="4" t="s">
        <v>4</v>
      </c>
      <c r="G27" s="4" t="s">
        <v>5</v>
      </c>
      <c r="H27" s="4" t="s">
        <v>22</v>
      </c>
      <c r="I27" s="4" t="s">
        <v>7</v>
      </c>
      <c r="J27" s="4" t="s">
        <v>8</v>
      </c>
      <c r="K27" s="4" t="s">
        <v>4</v>
      </c>
      <c r="L27" s="4" t="s">
        <v>4</v>
      </c>
      <c r="M27" s="4" t="s">
        <v>15</v>
      </c>
      <c r="N27" s="4" t="s">
        <v>10</v>
      </c>
      <c r="O27" s="4" t="s">
        <v>63</v>
      </c>
    </row>
    <row r="28" spans="1:15" x14ac:dyDescent="0.25">
      <c r="A28" s="4">
        <v>27</v>
      </c>
      <c r="B28" s="3">
        <v>45955.84872253472</v>
      </c>
      <c r="C28" s="4" t="s">
        <v>83</v>
      </c>
      <c r="D28" s="4" t="s">
        <v>84</v>
      </c>
      <c r="E28" s="4" t="s">
        <v>3</v>
      </c>
      <c r="F28" s="4" t="s">
        <v>8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4</v>
      </c>
      <c r="L28" s="4" t="s">
        <v>4</v>
      </c>
      <c r="M28" s="4" t="s">
        <v>15</v>
      </c>
      <c r="N28" s="4" t="s">
        <v>10</v>
      </c>
      <c r="O28" s="4" t="s">
        <v>63</v>
      </c>
    </row>
    <row r="29" spans="1:15" x14ac:dyDescent="0.25">
      <c r="A29" s="4">
        <v>28</v>
      </c>
      <c r="B29" s="3">
        <v>45955.848907615742</v>
      </c>
      <c r="C29" s="4" t="s">
        <v>85</v>
      </c>
      <c r="D29" s="4" t="s">
        <v>86</v>
      </c>
      <c r="E29" s="4" t="s">
        <v>3</v>
      </c>
      <c r="F29" s="4" t="s">
        <v>4</v>
      </c>
      <c r="G29" s="4" t="s">
        <v>13</v>
      </c>
      <c r="H29" s="4" t="s">
        <v>19</v>
      </c>
      <c r="I29" s="4" t="s">
        <v>27</v>
      </c>
      <c r="J29" s="4" t="s">
        <v>4</v>
      </c>
      <c r="K29" s="4" t="s">
        <v>8</v>
      </c>
      <c r="L29" s="4" t="s">
        <v>4</v>
      </c>
      <c r="M29" s="4" t="s">
        <v>15</v>
      </c>
      <c r="N29" s="4" t="s">
        <v>10</v>
      </c>
      <c r="O29" s="4" t="s">
        <v>87</v>
      </c>
    </row>
    <row r="30" spans="1:15" x14ac:dyDescent="0.25">
      <c r="A30" s="4">
        <v>29</v>
      </c>
      <c r="B30" s="3">
        <v>45955.852130891202</v>
      </c>
      <c r="C30" s="4" t="s">
        <v>88</v>
      </c>
      <c r="D30" s="4" t="s">
        <v>89</v>
      </c>
      <c r="E30" s="4" t="s">
        <v>78</v>
      </c>
      <c r="F30" s="4" t="s">
        <v>4</v>
      </c>
      <c r="G30" s="4" t="s">
        <v>5</v>
      </c>
      <c r="H30" s="4" t="s">
        <v>19</v>
      </c>
      <c r="I30" s="4" t="s">
        <v>14</v>
      </c>
      <c r="J30" s="4" t="s">
        <v>8</v>
      </c>
      <c r="K30" s="4" t="s">
        <v>4</v>
      </c>
      <c r="L30" s="4" t="s">
        <v>4</v>
      </c>
      <c r="M30" s="4" t="s">
        <v>15</v>
      </c>
      <c r="N30" s="4" t="s">
        <v>16</v>
      </c>
      <c r="O30" s="4" t="s">
        <v>90</v>
      </c>
    </row>
    <row r="31" spans="1:15" x14ac:dyDescent="0.25">
      <c r="A31" s="4">
        <v>30</v>
      </c>
      <c r="B31" s="3">
        <v>45955.853908171295</v>
      </c>
      <c r="C31" s="4" t="s">
        <v>91</v>
      </c>
      <c r="D31" s="4" t="s">
        <v>92</v>
      </c>
      <c r="E31" s="4" t="s">
        <v>3</v>
      </c>
      <c r="F31" s="4" t="s">
        <v>4</v>
      </c>
      <c r="G31" s="4" t="s">
        <v>5</v>
      </c>
      <c r="H31" s="4" t="s">
        <v>22</v>
      </c>
      <c r="I31" s="4" t="s">
        <v>27</v>
      </c>
      <c r="J31" s="4" t="s">
        <v>8</v>
      </c>
      <c r="K31" s="4" t="s">
        <v>4</v>
      </c>
      <c r="L31" s="4" t="s">
        <v>4</v>
      </c>
      <c r="M31" s="4" t="s">
        <v>33</v>
      </c>
      <c r="N31" s="4" t="s">
        <v>28</v>
      </c>
      <c r="O31" s="4" t="s">
        <v>165</v>
      </c>
    </row>
    <row r="32" spans="1:15" x14ac:dyDescent="0.25">
      <c r="A32" s="4">
        <v>31</v>
      </c>
      <c r="B32" s="3">
        <v>45955.854481423608</v>
      </c>
      <c r="C32" s="4" t="s">
        <v>93</v>
      </c>
      <c r="D32" s="4" t="s">
        <v>94</v>
      </c>
      <c r="E32" s="4" t="s">
        <v>3</v>
      </c>
      <c r="F32" s="4" t="s">
        <v>4</v>
      </c>
      <c r="G32" s="4" t="s">
        <v>5</v>
      </c>
      <c r="H32" s="4" t="s">
        <v>22</v>
      </c>
      <c r="I32" s="4" t="s">
        <v>27</v>
      </c>
      <c r="J32" s="4" t="s">
        <v>8</v>
      </c>
      <c r="K32" s="4" t="s">
        <v>4</v>
      </c>
      <c r="L32" s="4" t="s">
        <v>8</v>
      </c>
      <c r="M32" s="4" t="s">
        <v>15</v>
      </c>
      <c r="N32" s="4" t="s">
        <v>28</v>
      </c>
      <c r="O32" s="4" t="s">
        <v>8</v>
      </c>
    </row>
    <row r="33" spans="1:15" x14ac:dyDescent="0.25">
      <c r="A33" s="4">
        <v>32</v>
      </c>
      <c r="B33" s="3">
        <v>45955.855043842588</v>
      </c>
      <c r="C33" s="4" t="s">
        <v>95</v>
      </c>
      <c r="D33" s="4" t="s">
        <v>96</v>
      </c>
      <c r="E33" s="4" t="s">
        <v>3</v>
      </c>
      <c r="F33" s="4" t="s">
        <v>4</v>
      </c>
      <c r="G33" s="4" t="s">
        <v>5</v>
      </c>
      <c r="H33" s="4" t="s">
        <v>19</v>
      </c>
      <c r="I33" s="4" t="s">
        <v>27</v>
      </c>
      <c r="J33" s="4" t="s">
        <v>8</v>
      </c>
      <c r="K33" s="4" t="s">
        <v>4</v>
      </c>
      <c r="L33" s="4" t="s">
        <v>4</v>
      </c>
      <c r="M33" s="4" t="s">
        <v>33</v>
      </c>
      <c r="N33" s="4" t="s">
        <v>16</v>
      </c>
      <c r="O33" s="4" t="s">
        <v>63</v>
      </c>
    </row>
    <row r="34" spans="1:15" x14ac:dyDescent="0.25">
      <c r="A34" s="4">
        <v>33</v>
      </c>
      <c r="B34" s="3">
        <v>45955.856548379626</v>
      </c>
      <c r="C34" s="4" t="s">
        <v>97</v>
      </c>
      <c r="D34" s="4" t="s">
        <v>98</v>
      </c>
      <c r="E34" s="4" t="s">
        <v>3</v>
      </c>
      <c r="F34" s="4" t="s">
        <v>4</v>
      </c>
      <c r="G34" s="4" t="s">
        <v>5</v>
      </c>
      <c r="H34" s="4" t="s">
        <v>19</v>
      </c>
      <c r="I34" s="4" t="s">
        <v>23</v>
      </c>
      <c r="J34" s="4" t="s">
        <v>8</v>
      </c>
      <c r="K34" s="4" t="s">
        <v>4</v>
      </c>
      <c r="L34" s="4" t="s">
        <v>4</v>
      </c>
      <c r="M34" s="4" t="s">
        <v>15</v>
      </c>
      <c r="N34" s="4" t="s">
        <v>28</v>
      </c>
      <c r="O34" s="4" t="s">
        <v>63</v>
      </c>
    </row>
    <row r="35" spans="1:15" x14ac:dyDescent="0.25">
      <c r="A35" s="4">
        <v>34</v>
      </c>
      <c r="B35" s="3">
        <v>45955.858017708335</v>
      </c>
      <c r="C35" s="4" t="s">
        <v>99</v>
      </c>
      <c r="D35" s="4" t="s">
        <v>100</v>
      </c>
      <c r="E35" s="4" t="s">
        <v>78</v>
      </c>
      <c r="F35" s="4" t="s">
        <v>4</v>
      </c>
      <c r="G35" s="4" t="s">
        <v>13</v>
      </c>
      <c r="H35" s="4" t="s">
        <v>19</v>
      </c>
      <c r="I35" s="4" t="s">
        <v>23</v>
      </c>
      <c r="J35" s="4" t="s">
        <v>8</v>
      </c>
      <c r="K35" s="4" t="s">
        <v>4</v>
      </c>
      <c r="L35" s="4" t="s">
        <v>4</v>
      </c>
      <c r="M35" s="4" t="s">
        <v>33</v>
      </c>
      <c r="N35" s="4" t="s">
        <v>10</v>
      </c>
      <c r="O35" s="4" t="s">
        <v>63</v>
      </c>
    </row>
    <row r="36" spans="1:15" x14ac:dyDescent="0.25">
      <c r="A36" s="4">
        <v>35</v>
      </c>
      <c r="B36" s="3">
        <v>45955.858538043976</v>
      </c>
      <c r="C36" s="4" t="s">
        <v>101</v>
      </c>
      <c r="D36" s="4" t="s">
        <v>102</v>
      </c>
      <c r="E36" s="4" t="s">
        <v>3</v>
      </c>
      <c r="F36" s="4" t="s">
        <v>4</v>
      </c>
      <c r="G36" s="4" t="s">
        <v>5</v>
      </c>
      <c r="H36" s="4" t="s">
        <v>6</v>
      </c>
      <c r="I36" s="4" t="s">
        <v>27</v>
      </c>
      <c r="J36" s="4" t="s">
        <v>8</v>
      </c>
      <c r="K36" s="4" t="s">
        <v>4</v>
      </c>
      <c r="L36" s="4" t="s">
        <v>4</v>
      </c>
      <c r="M36" s="4" t="s">
        <v>33</v>
      </c>
      <c r="N36" s="4" t="s">
        <v>10</v>
      </c>
      <c r="O36" s="4" t="s">
        <v>103</v>
      </c>
    </row>
    <row r="37" spans="1:15" x14ac:dyDescent="0.25">
      <c r="A37" s="4">
        <v>36</v>
      </c>
      <c r="B37" s="3">
        <v>45955.867995555556</v>
      </c>
      <c r="C37" s="4" t="s">
        <v>104</v>
      </c>
      <c r="D37" s="4" t="s">
        <v>105</v>
      </c>
      <c r="E37" s="4" t="s">
        <v>3</v>
      </c>
      <c r="F37" s="4" t="s">
        <v>4</v>
      </c>
      <c r="G37" s="4" t="s">
        <v>13</v>
      </c>
      <c r="H37" s="4" t="s">
        <v>19</v>
      </c>
      <c r="I37" s="4" t="s">
        <v>14</v>
      </c>
      <c r="J37" s="4" t="s">
        <v>4</v>
      </c>
      <c r="K37" s="4" t="s">
        <v>4</v>
      </c>
      <c r="L37" s="4" t="s">
        <v>4</v>
      </c>
      <c r="M37" s="4" t="s">
        <v>15</v>
      </c>
      <c r="N37" s="4" t="s">
        <v>16</v>
      </c>
      <c r="O37" s="4" t="s">
        <v>106</v>
      </c>
    </row>
    <row r="38" spans="1:15" x14ac:dyDescent="0.25">
      <c r="A38" s="4">
        <v>37</v>
      </c>
      <c r="B38" s="3">
        <v>45955.86851375</v>
      </c>
      <c r="C38" s="4" t="s">
        <v>107</v>
      </c>
      <c r="D38" s="4" t="s">
        <v>108</v>
      </c>
      <c r="E38" s="4" t="s">
        <v>3</v>
      </c>
      <c r="F38" s="4" t="s">
        <v>4</v>
      </c>
      <c r="G38" s="4" t="s">
        <v>5</v>
      </c>
      <c r="H38" s="4" t="s">
        <v>19</v>
      </c>
      <c r="I38" s="4" t="s">
        <v>27</v>
      </c>
      <c r="J38" s="4" t="s">
        <v>8</v>
      </c>
      <c r="K38" s="4" t="s">
        <v>4</v>
      </c>
      <c r="L38" s="4" t="s">
        <v>4</v>
      </c>
      <c r="M38" s="4" t="s">
        <v>15</v>
      </c>
      <c r="N38" s="4" t="s">
        <v>16</v>
      </c>
      <c r="O38" s="4" t="s">
        <v>63</v>
      </c>
    </row>
    <row r="39" spans="1:15" x14ac:dyDescent="0.25">
      <c r="A39" s="4">
        <v>38</v>
      </c>
      <c r="B39" s="3">
        <v>45955.869004768523</v>
      </c>
      <c r="C39" s="4" t="s">
        <v>109</v>
      </c>
      <c r="D39" s="4" t="s">
        <v>110</v>
      </c>
      <c r="E39" s="4" t="s">
        <v>78</v>
      </c>
      <c r="F39" s="4" t="s">
        <v>8</v>
      </c>
      <c r="G39" s="4" t="s">
        <v>13</v>
      </c>
      <c r="H39" s="4" t="s">
        <v>6</v>
      </c>
      <c r="I39" s="4" t="s">
        <v>23</v>
      </c>
      <c r="J39" s="4" t="s">
        <v>4</v>
      </c>
      <c r="K39" s="4" t="s">
        <v>8</v>
      </c>
      <c r="L39" s="4" t="s">
        <v>4</v>
      </c>
      <c r="M39" s="4" t="s">
        <v>44</v>
      </c>
      <c r="N39" s="4" t="s">
        <v>10</v>
      </c>
      <c r="O39" s="4" t="s">
        <v>63</v>
      </c>
    </row>
    <row r="40" spans="1:15" x14ac:dyDescent="0.25">
      <c r="A40" s="4">
        <v>39</v>
      </c>
      <c r="B40" s="3">
        <v>45955.871156759255</v>
      </c>
      <c r="C40" s="4" t="s">
        <v>111</v>
      </c>
      <c r="D40" s="4" t="s">
        <v>112</v>
      </c>
      <c r="E40" s="4" t="s">
        <v>3</v>
      </c>
      <c r="F40" s="4" t="s">
        <v>4</v>
      </c>
      <c r="G40" s="4" t="s">
        <v>5</v>
      </c>
      <c r="H40" s="4" t="s">
        <v>22</v>
      </c>
      <c r="I40" s="4" t="s">
        <v>14</v>
      </c>
      <c r="J40" s="4" t="s">
        <v>4</v>
      </c>
      <c r="K40" s="4" t="s">
        <v>4</v>
      </c>
      <c r="L40" s="4" t="s">
        <v>4</v>
      </c>
      <c r="M40" s="4" t="s">
        <v>15</v>
      </c>
      <c r="N40" s="4" t="s">
        <v>28</v>
      </c>
      <c r="O40" s="4" t="s">
        <v>63</v>
      </c>
    </row>
    <row r="41" spans="1:15" x14ac:dyDescent="0.25">
      <c r="A41" s="4">
        <v>40</v>
      </c>
      <c r="B41" s="3">
        <v>45955.880741782406</v>
      </c>
      <c r="C41" s="4" t="s">
        <v>113</v>
      </c>
      <c r="D41" s="4" t="s">
        <v>114</v>
      </c>
      <c r="E41" s="4" t="s">
        <v>3</v>
      </c>
      <c r="F41" s="4" t="s">
        <v>4</v>
      </c>
      <c r="G41" s="4" t="s">
        <v>5</v>
      </c>
      <c r="H41" s="4" t="s">
        <v>19</v>
      </c>
      <c r="I41" s="4" t="s">
        <v>23</v>
      </c>
      <c r="J41" s="4" t="s">
        <v>8</v>
      </c>
      <c r="K41" s="4" t="s">
        <v>8</v>
      </c>
      <c r="L41" s="4" t="s">
        <v>4</v>
      </c>
      <c r="M41" s="4" t="s">
        <v>15</v>
      </c>
      <c r="N41" s="4" t="s">
        <v>28</v>
      </c>
      <c r="O41" s="4" t="s">
        <v>115</v>
      </c>
    </row>
    <row r="42" spans="1:15" x14ac:dyDescent="0.25">
      <c r="A42" s="4">
        <v>41</v>
      </c>
      <c r="B42" s="3">
        <v>45955.898860729169</v>
      </c>
      <c r="C42" s="4" t="s">
        <v>116</v>
      </c>
      <c r="D42" s="4" t="s">
        <v>117</v>
      </c>
      <c r="E42" s="4" t="s">
        <v>3</v>
      </c>
      <c r="F42" s="4" t="s">
        <v>4</v>
      </c>
      <c r="G42" s="4" t="s">
        <v>5</v>
      </c>
      <c r="H42" s="4" t="s">
        <v>19</v>
      </c>
      <c r="I42" s="4" t="s">
        <v>27</v>
      </c>
      <c r="J42" s="4" t="s">
        <v>8</v>
      </c>
      <c r="K42" s="4" t="s">
        <v>4</v>
      </c>
      <c r="L42" s="4" t="s">
        <v>4</v>
      </c>
      <c r="M42" s="4" t="s">
        <v>33</v>
      </c>
      <c r="N42" s="4" t="s">
        <v>10</v>
      </c>
      <c r="O42" s="4" t="s">
        <v>118</v>
      </c>
    </row>
    <row r="43" spans="1:15" x14ac:dyDescent="0.25">
      <c r="A43" s="4">
        <v>42</v>
      </c>
      <c r="B43" s="3">
        <v>45955.903098275463</v>
      </c>
      <c r="C43" s="4" t="s">
        <v>119</v>
      </c>
      <c r="D43" s="4" t="s">
        <v>120</v>
      </c>
      <c r="E43" s="4" t="s">
        <v>3</v>
      </c>
      <c r="F43" s="4" t="s">
        <v>4</v>
      </c>
      <c r="G43" s="4" t="s">
        <v>5</v>
      </c>
      <c r="H43" s="4" t="s">
        <v>19</v>
      </c>
      <c r="I43" s="4" t="s">
        <v>27</v>
      </c>
      <c r="J43" s="4" t="s">
        <v>8</v>
      </c>
      <c r="K43" s="4" t="s">
        <v>4</v>
      </c>
      <c r="L43" s="4" t="s">
        <v>4</v>
      </c>
      <c r="M43" s="4" t="s">
        <v>15</v>
      </c>
      <c r="N43" s="4" t="s">
        <v>28</v>
      </c>
      <c r="O43" s="4" t="s">
        <v>121</v>
      </c>
    </row>
    <row r="44" spans="1:15" x14ac:dyDescent="0.25">
      <c r="A44" s="4">
        <v>43</v>
      </c>
      <c r="B44" s="3">
        <v>45955.986481759261</v>
      </c>
      <c r="C44" s="4" t="s">
        <v>122</v>
      </c>
      <c r="D44" s="4" t="s">
        <v>164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23</v>
      </c>
      <c r="J44" s="4" t="s">
        <v>8</v>
      </c>
      <c r="K44" s="4" t="s">
        <v>4</v>
      </c>
      <c r="L44" s="4" t="s">
        <v>4</v>
      </c>
      <c r="M44" s="4" t="s">
        <v>15</v>
      </c>
      <c r="N44" s="4" t="s">
        <v>10</v>
      </c>
      <c r="O44" s="4" t="s">
        <v>63</v>
      </c>
    </row>
    <row r="45" spans="1:15" x14ac:dyDescent="0.25">
      <c r="A45" s="4">
        <v>44</v>
      </c>
      <c r="B45" s="3">
        <v>45956.28252148148</v>
      </c>
      <c r="C45" s="4" t="s">
        <v>123</v>
      </c>
      <c r="D45" s="4" t="s">
        <v>124</v>
      </c>
      <c r="E45" s="4" t="s">
        <v>3</v>
      </c>
      <c r="F45" s="4" t="s">
        <v>4</v>
      </c>
      <c r="G45" s="4" t="s">
        <v>5</v>
      </c>
      <c r="H45" s="4" t="s">
        <v>22</v>
      </c>
      <c r="I45" s="4" t="s">
        <v>27</v>
      </c>
      <c r="J45" s="4" t="s">
        <v>8</v>
      </c>
      <c r="K45" s="4" t="s">
        <v>4</v>
      </c>
      <c r="L45" s="4" t="s">
        <v>4</v>
      </c>
      <c r="M45" s="4" t="s">
        <v>33</v>
      </c>
      <c r="N45" s="4" t="s">
        <v>28</v>
      </c>
      <c r="O45" s="4" t="s">
        <v>125</v>
      </c>
    </row>
    <row r="46" spans="1:15" x14ac:dyDescent="0.25">
      <c r="A46" s="4">
        <v>45</v>
      </c>
      <c r="B46" s="3">
        <v>45956.358706909727</v>
      </c>
      <c r="C46" s="4" t="s">
        <v>126</v>
      </c>
      <c r="D46" s="4" t="s">
        <v>127</v>
      </c>
      <c r="E46" s="4" t="s">
        <v>3</v>
      </c>
      <c r="F46" s="4" t="s">
        <v>4</v>
      </c>
      <c r="G46" s="4" t="s">
        <v>13</v>
      </c>
      <c r="H46" s="4" t="s">
        <v>19</v>
      </c>
      <c r="I46" s="4" t="s">
        <v>27</v>
      </c>
      <c r="J46" s="4" t="s">
        <v>8</v>
      </c>
      <c r="K46" s="4" t="s">
        <v>8</v>
      </c>
      <c r="L46" s="4" t="s">
        <v>8</v>
      </c>
      <c r="M46" s="4" t="s">
        <v>9</v>
      </c>
      <c r="N46" s="4" t="s">
        <v>28</v>
      </c>
      <c r="O46" s="4" t="s">
        <v>63</v>
      </c>
    </row>
    <row r="47" spans="1:15" x14ac:dyDescent="0.25">
      <c r="A47" s="4">
        <v>46</v>
      </c>
      <c r="B47" s="3">
        <v>45956.372705694448</v>
      </c>
      <c r="C47" s="4" t="s">
        <v>128</v>
      </c>
      <c r="D47" s="4" t="s">
        <v>129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8</v>
      </c>
      <c r="K47" s="4" t="s">
        <v>4</v>
      </c>
      <c r="L47" s="4" t="s">
        <v>4</v>
      </c>
      <c r="M47" s="4" t="s">
        <v>33</v>
      </c>
      <c r="N47" s="4" t="s">
        <v>16</v>
      </c>
      <c r="O47" s="4" t="s">
        <v>130</v>
      </c>
    </row>
    <row r="48" spans="1:15" x14ac:dyDescent="0.25">
      <c r="A48" s="4">
        <v>47</v>
      </c>
      <c r="B48" s="3">
        <v>45956.379683935185</v>
      </c>
      <c r="C48" s="4" t="s">
        <v>131</v>
      </c>
      <c r="D48" s="4" t="s">
        <v>132</v>
      </c>
      <c r="E48" s="4" t="s">
        <v>43</v>
      </c>
      <c r="F48" s="4" t="s">
        <v>4</v>
      </c>
      <c r="G48" s="4" t="s">
        <v>5</v>
      </c>
      <c r="H48" s="4" t="s">
        <v>19</v>
      </c>
      <c r="I48" s="4" t="s">
        <v>27</v>
      </c>
      <c r="J48" s="4" t="s">
        <v>8</v>
      </c>
      <c r="K48" s="4" t="s">
        <v>4</v>
      </c>
      <c r="L48" s="4" t="s">
        <v>4</v>
      </c>
      <c r="M48" s="4" t="s">
        <v>15</v>
      </c>
      <c r="N48" s="4" t="s">
        <v>28</v>
      </c>
      <c r="O48" s="4" t="s">
        <v>133</v>
      </c>
    </row>
    <row r="49" spans="1:15" x14ac:dyDescent="0.25">
      <c r="A49" s="4">
        <v>48</v>
      </c>
      <c r="B49" s="3">
        <v>45956.383013344908</v>
      </c>
      <c r="C49" s="4" t="s">
        <v>134</v>
      </c>
      <c r="D49" s="4" t="s">
        <v>135</v>
      </c>
      <c r="E49" s="4" t="s">
        <v>78</v>
      </c>
      <c r="F49" s="4" t="s">
        <v>4</v>
      </c>
      <c r="G49" s="4" t="s">
        <v>13</v>
      </c>
      <c r="H49" s="4" t="s">
        <v>19</v>
      </c>
      <c r="I49" s="4" t="s">
        <v>7</v>
      </c>
      <c r="J49" s="4" t="s">
        <v>8</v>
      </c>
      <c r="K49" s="4" t="s">
        <v>4</v>
      </c>
      <c r="L49" s="4" t="s">
        <v>4</v>
      </c>
      <c r="M49" s="4" t="s">
        <v>33</v>
      </c>
      <c r="N49" s="4" t="s">
        <v>10</v>
      </c>
      <c r="O49" s="4" t="s">
        <v>63</v>
      </c>
    </row>
    <row r="50" spans="1:15" x14ac:dyDescent="0.25">
      <c r="A50" s="4">
        <v>49</v>
      </c>
      <c r="B50" s="3">
        <v>45956.394950393515</v>
      </c>
      <c r="C50" s="4" t="s">
        <v>136</v>
      </c>
      <c r="D50" s="4" t="s">
        <v>137</v>
      </c>
      <c r="E50" s="4" t="s">
        <v>3</v>
      </c>
      <c r="F50" s="4" t="s">
        <v>4</v>
      </c>
      <c r="G50" s="4" t="s">
        <v>5</v>
      </c>
      <c r="H50" s="4" t="s">
        <v>19</v>
      </c>
      <c r="I50" s="4" t="s">
        <v>27</v>
      </c>
      <c r="J50" s="4" t="s">
        <v>8</v>
      </c>
      <c r="K50" s="4" t="s">
        <v>4</v>
      </c>
      <c r="L50" s="4" t="s">
        <v>4</v>
      </c>
      <c r="M50" s="4" t="s">
        <v>15</v>
      </c>
      <c r="N50" s="4" t="s">
        <v>16</v>
      </c>
      <c r="O50" s="4" t="s">
        <v>63</v>
      </c>
    </row>
    <row r="51" spans="1:15" x14ac:dyDescent="0.25">
      <c r="A51" s="4">
        <v>50</v>
      </c>
      <c r="B51" s="3">
        <v>45956.425561180557</v>
      </c>
      <c r="C51" s="4" t="s">
        <v>138</v>
      </c>
      <c r="D51" s="4" t="s">
        <v>139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23</v>
      </c>
      <c r="J51" s="4" t="s">
        <v>8</v>
      </c>
      <c r="K51" s="4" t="s">
        <v>4</v>
      </c>
      <c r="L51" s="4" t="s">
        <v>4</v>
      </c>
      <c r="M51" s="4" t="s">
        <v>15</v>
      </c>
      <c r="N51" s="4" t="s">
        <v>10</v>
      </c>
      <c r="O51" s="4" t="s">
        <v>140</v>
      </c>
    </row>
    <row r="52" spans="1:15" x14ac:dyDescent="0.25">
      <c r="A52" s="4">
        <v>51</v>
      </c>
      <c r="B52" s="3">
        <v>45956.451180509262</v>
      </c>
      <c r="C52" s="4" t="s">
        <v>141</v>
      </c>
      <c r="D52" s="4" t="s">
        <v>142</v>
      </c>
      <c r="E52" s="4" t="s">
        <v>43</v>
      </c>
      <c r="F52" s="4" t="s">
        <v>4</v>
      </c>
      <c r="G52" s="4" t="s">
        <v>26</v>
      </c>
      <c r="H52" s="4" t="s">
        <v>22</v>
      </c>
      <c r="I52" s="4" t="s">
        <v>7</v>
      </c>
      <c r="J52" s="4" t="s">
        <v>8</v>
      </c>
      <c r="K52" s="4" t="s">
        <v>4</v>
      </c>
      <c r="L52" s="4" t="s">
        <v>4</v>
      </c>
      <c r="M52" s="4" t="s">
        <v>15</v>
      </c>
      <c r="N52" s="4" t="s">
        <v>10</v>
      </c>
      <c r="O52" s="4" t="s">
        <v>63</v>
      </c>
    </row>
    <row r="53" spans="1:15" x14ac:dyDescent="0.25">
      <c r="A53" s="4">
        <v>52</v>
      </c>
      <c r="B53" s="3">
        <v>45956.457580069444</v>
      </c>
      <c r="C53" s="4" t="s">
        <v>143</v>
      </c>
      <c r="D53" s="4" t="s">
        <v>144</v>
      </c>
      <c r="E53" s="4" t="s">
        <v>53</v>
      </c>
      <c r="F53" s="4" t="s">
        <v>4</v>
      </c>
      <c r="G53" s="4" t="s">
        <v>5</v>
      </c>
      <c r="H53" s="4" t="s">
        <v>22</v>
      </c>
      <c r="I53" s="4" t="s">
        <v>23</v>
      </c>
      <c r="J53" s="4" t="s">
        <v>8</v>
      </c>
      <c r="K53" s="4" t="s">
        <v>4</v>
      </c>
      <c r="L53" s="4" t="s">
        <v>4</v>
      </c>
      <c r="M53" s="4" t="s">
        <v>15</v>
      </c>
      <c r="N53" s="4" t="s">
        <v>28</v>
      </c>
      <c r="O53" s="4" t="s">
        <v>145</v>
      </c>
    </row>
    <row r="54" spans="1:15" ht="15" x14ac:dyDescent="0.25">
      <c r="A54" s="4">
        <v>53</v>
      </c>
      <c r="B54" s="3">
        <v>45956.462290219904</v>
      </c>
      <c r="C54" s="4" t="s">
        <v>146</v>
      </c>
      <c r="D54" s="7" t="s">
        <v>165</v>
      </c>
      <c r="E54" s="4" t="s">
        <v>53</v>
      </c>
      <c r="F54" s="4" t="s">
        <v>4</v>
      </c>
      <c r="G54" s="4" t="s">
        <v>5</v>
      </c>
      <c r="H54" s="4" t="s">
        <v>6</v>
      </c>
      <c r="I54" s="4" t="s">
        <v>23</v>
      </c>
      <c r="J54" s="4" t="s">
        <v>8</v>
      </c>
      <c r="K54" s="4" t="s">
        <v>4</v>
      </c>
      <c r="L54" s="4" t="s">
        <v>4</v>
      </c>
      <c r="M54" s="4" t="s">
        <v>9</v>
      </c>
      <c r="N54" s="4" t="s">
        <v>28</v>
      </c>
      <c r="O54" s="4" t="s">
        <v>63</v>
      </c>
    </row>
    <row r="55" spans="1:15" x14ac:dyDescent="0.25">
      <c r="A55" s="4">
        <v>54</v>
      </c>
      <c r="B55" s="3">
        <v>45956.466886574075</v>
      </c>
      <c r="C55" s="4" t="s">
        <v>147</v>
      </c>
      <c r="D55" s="4" t="s">
        <v>148</v>
      </c>
      <c r="E55" s="4" t="s">
        <v>3</v>
      </c>
      <c r="F55" s="4" t="s">
        <v>4</v>
      </c>
      <c r="G55" s="4" t="s">
        <v>5</v>
      </c>
      <c r="H55" s="4" t="s">
        <v>19</v>
      </c>
      <c r="I55" s="4" t="s">
        <v>27</v>
      </c>
      <c r="J55" s="4" t="s">
        <v>8</v>
      </c>
      <c r="K55" s="4" t="s">
        <v>4</v>
      </c>
      <c r="L55" s="4" t="s">
        <v>4</v>
      </c>
      <c r="M55" s="4" t="s">
        <v>15</v>
      </c>
      <c r="N55" s="4" t="s">
        <v>10</v>
      </c>
      <c r="O55" s="4" t="s">
        <v>165</v>
      </c>
    </row>
    <row r="56" spans="1:15" x14ac:dyDescent="0.25">
      <c r="A56" s="4">
        <v>55</v>
      </c>
      <c r="B56" s="3">
        <v>45956.483261516201</v>
      </c>
      <c r="C56" s="4" t="s">
        <v>149</v>
      </c>
      <c r="D56" s="4" t="s">
        <v>150</v>
      </c>
      <c r="E56" s="4" t="s">
        <v>53</v>
      </c>
      <c r="F56" s="4" t="s">
        <v>4</v>
      </c>
      <c r="G56" s="4" t="s">
        <v>13</v>
      </c>
      <c r="H56" s="4" t="s">
        <v>19</v>
      </c>
      <c r="I56" s="4" t="s">
        <v>7</v>
      </c>
      <c r="J56" s="4" t="s">
        <v>8</v>
      </c>
      <c r="K56" s="4" t="s">
        <v>4</v>
      </c>
      <c r="L56" s="4" t="s">
        <v>4</v>
      </c>
      <c r="M56" s="4" t="s">
        <v>15</v>
      </c>
      <c r="N56" s="4" t="s">
        <v>28</v>
      </c>
      <c r="O56" s="4" t="s">
        <v>63</v>
      </c>
    </row>
    <row r="57" spans="1:15" x14ac:dyDescent="0.25">
      <c r="A57" s="4">
        <v>56</v>
      </c>
      <c r="B57" s="3">
        <v>45956.502143495367</v>
      </c>
      <c r="C57" s="4" t="s">
        <v>151</v>
      </c>
      <c r="D57" s="4" t="s">
        <v>152</v>
      </c>
      <c r="E57" s="4" t="s">
        <v>78</v>
      </c>
      <c r="F57" s="4" t="s">
        <v>4</v>
      </c>
      <c r="G57" s="4" t="s">
        <v>5</v>
      </c>
      <c r="H57" s="4" t="s">
        <v>19</v>
      </c>
      <c r="I57" s="4" t="s">
        <v>23</v>
      </c>
      <c r="J57" s="4" t="s">
        <v>4</v>
      </c>
      <c r="K57" s="4" t="s">
        <v>4</v>
      </c>
      <c r="L57" s="4" t="s">
        <v>4</v>
      </c>
      <c r="M57" s="4" t="s">
        <v>15</v>
      </c>
      <c r="N57" s="4" t="s">
        <v>28</v>
      </c>
      <c r="O57" s="4" t="s">
        <v>63</v>
      </c>
    </row>
    <row r="58" spans="1:15" x14ac:dyDescent="0.25">
      <c r="A58" s="4">
        <v>57</v>
      </c>
      <c r="B58" s="3">
        <v>45956.510937013889</v>
      </c>
      <c r="C58" s="4" t="s">
        <v>153</v>
      </c>
      <c r="D58" s="4" t="s">
        <v>154</v>
      </c>
      <c r="E58" s="4" t="s">
        <v>3</v>
      </c>
      <c r="F58" s="4" t="s">
        <v>4</v>
      </c>
      <c r="G58" s="4" t="s">
        <v>5</v>
      </c>
      <c r="H58" s="4" t="s">
        <v>6</v>
      </c>
      <c r="I58" s="4" t="s">
        <v>14</v>
      </c>
      <c r="J58" s="4" t="s">
        <v>8</v>
      </c>
      <c r="K58" s="4" t="s">
        <v>4</v>
      </c>
      <c r="L58" s="4" t="s">
        <v>4</v>
      </c>
      <c r="M58" s="4" t="s">
        <v>15</v>
      </c>
      <c r="N58" s="4" t="s">
        <v>16</v>
      </c>
      <c r="O58" s="4" t="s">
        <v>63</v>
      </c>
    </row>
    <row r="59" spans="1:15" x14ac:dyDescent="0.25">
      <c r="A59" s="4">
        <v>58</v>
      </c>
      <c r="B59" s="3">
        <v>45956.519636331017</v>
      </c>
      <c r="C59" s="4" t="s">
        <v>155</v>
      </c>
      <c r="D59" s="4" t="s">
        <v>156</v>
      </c>
      <c r="E59" s="4" t="s">
        <v>3</v>
      </c>
      <c r="F59" s="4" t="s">
        <v>4</v>
      </c>
      <c r="G59" s="4" t="s">
        <v>13</v>
      </c>
      <c r="H59" s="4" t="s">
        <v>19</v>
      </c>
      <c r="I59" s="4" t="s">
        <v>27</v>
      </c>
      <c r="J59" s="4" t="s">
        <v>8</v>
      </c>
      <c r="K59" s="4" t="s">
        <v>8</v>
      </c>
      <c r="L59" s="4" t="s">
        <v>8</v>
      </c>
      <c r="M59" s="4" t="s">
        <v>33</v>
      </c>
      <c r="N59" s="4" t="s">
        <v>16</v>
      </c>
      <c r="O59" s="4" t="s">
        <v>157</v>
      </c>
    </row>
    <row r="60" spans="1:15" x14ac:dyDescent="0.25">
      <c r="A60" s="4">
        <v>59</v>
      </c>
      <c r="B60" s="3">
        <v>45956.558915914356</v>
      </c>
      <c r="C60" s="4" t="s">
        <v>158</v>
      </c>
      <c r="D60" s="4" t="s">
        <v>159</v>
      </c>
      <c r="E60" s="4" t="s">
        <v>3</v>
      </c>
      <c r="F60" s="4" t="s">
        <v>4</v>
      </c>
      <c r="G60" s="4" t="s">
        <v>5</v>
      </c>
      <c r="H60" s="4" t="s">
        <v>19</v>
      </c>
      <c r="I60" s="4" t="s">
        <v>27</v>
      </c>
      <c r="J60" s="4" t="s">
        <v>8</v>
      </c>
      <c r="K60" s="4" t="s">
        <v>4</v>
      </c>
      <c r="L60" s="4" t="s">
        <v>4</v>
      </c>
      <c r="M60" s="4" t="s">
        <v>9</v>
      </c>
      <c r="N60" s="4" t="s">
        <v>10</v>
      </c>
      <c r="O60" s="4" t="s">
        <v>160</v>
      </c>
    </row>
    <row r="61" spans="1:15" x14ac:dyDescent="0.25">
      <c r="A61" s="4">
        <v>60</v>
      </c>
      <c r="B61" s="3">
        <v>45956.637335601852</v>
      </c>
      <c r="C61" s="4" t="s">
        <v>161</v>
      </c>
      <c r="D61" s="4" t="s">
        <v>162</v>
      </c>
      <c r="E61" s="4" t="s">
        <v>3</v>
      </c>
      <c r="F61" s="4" t="s">
        <v>4</v>
      </c>
      <c r="G61" s="4" t="s">
        <v>5</v>
      </c>
      <c r="H61" s="4" t="s">
        <v>19</v>
      </c>
      <c r="I61" s="4" t="s">
        <v>7</v>
      </c>
      <c r="J61" s="4" t="s">
        <v>8</v>
      </c>
      <c r="K61" s="4" t="s">
        <v>4</v>
      </c>
      <c r="L61" s="4" t="s">
        <v>4</v>
      </c>
      <c r="M61" s="4" t="s">
        <v>15</v>
      </c>
      <c r="N61" s="4" t="s">
        <v>16</v>
      </c>
      <c r="O61" s="4" t="s">
        <v>63</v>
      </c>
    </row>
  </sheetData>
  <hyperlinks>
    <hyperlink ref="D3" r:id="rId1" xr:uid="{0C0045F6-F5AF-4BF4-B527-9E2ED6F29C0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B403-E5AA-4392-8657-0E8748601F5D}">
  <dimension ref="A1:P61"/>
  <sheetViews>
    <sheetView tabSelected="1" zoomScale="115" zoomScaleNormal="115" workbookViewId="0">
      <selection activeCell="C18" sqref="C18"/>
    </sheetView>
  </sheetViews>
  <sheetFormatPr defaultColWidth="41.28515625" defaultRowHeight="12.75" x14ac:dyDescent="0.25"/>
  <cols>
    <col min="1" max="1" width="24" style="1" bestFit="1" customWidth="1"/>
    <col min="2" max="2" width="19.140625" style="1" bestFit="1" customWidth="1"/>
    <col min="3" max="3" width="30.85546875" style="1" bestFit="1" customWidth="1"/>
    <col min="4" max="4" width="41" style="1" bestFit="1" customWidth="1"/>
    <col min="5" max="5" width="19" style="1" bestFit="1" customWidth="1"/>
    <col min="6" max="6" width="16.85546875" style="1" bestFit="1" customWidth="1"/>
    <col min="7" max="7" width="20.42578125" style="1" bestFit="1" customWidth="1"/>
    <col min="8" max="8" width="24" style="1" bestFit="1" customWidth="1"/>
    <col min="9" max="9" width="24" style="1" customWidth="1"/>
    <col min="10" max="10" width="28.7109375" style="1" bestFit="1" customWidth="1"/>
    <col min="11" max="11" width="19.5703125" style="1" bestFit="1" customWidth="1"/>
    <col min="12" max="13" width="26.5703125" style="1" bestFit="1" customWidth="1"/>
    <col min="14" max="14" width="61" style="1" bestFit="1" customWidth="1"/>
    <col min="15" max="15" width="50.42578125" style="1" bestFit="1" customWidth="1"/>
    <col min="16" max="16" width="146" style="1" bestFit="1" customWidth="1"/>
    <col min="17" max="16384" width="41.28515625" style="1"/>
  </cols>
  <sheetData>
    <row r="1" spans="1:16" x14ac:dyDescent="0.25">
      <c r="A1" s="1" t="s">
        <v>177</v>
      </c>
      <c r="B1" s="1" t="s">
        <v>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176</v>
      </c>
      <c r="H1" s="1" t="s">
        <v>169</v>
      </c>
      <c r="I1" s="1" t="s">
        <v>179</v>
      </c>
      <c r="J1" s="1" t="s">
        <v>175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178</v>
      </c>
    </row>
    <row r="2" spans="1:16" x14ac:dyDescent="0.25">
      <c r="A2" s="1">
        <v>1</v>
      </c>
      <c r="B2" s="8">
        <v>45955.796875</v>
      </c>
      <c r="C2" s="1" t="s">
        <v>2</v>
      </c>
      <c r="D2" s="1" t="s">
        <v>165</v>
      </c>
      <c r="E2" s="1" t="s">
        <v>3</v>
      </c>
      <c r="F2" s="1" t="s">
        <v>4</v>
      </c>
      <c r="G2" s="1" t="s">
        <v>5</v>
      </c>
      <c r="H2" s="1" t="s">
        <v>6</v>
      </c>
      <c r="I2" s="1" t="str">
        <f>TRIM(tbl_UPI[[#This Row],[Freq_per_week]])</f>
        <v>3-5 Times</v>
      </c>
      <c r="J2" s="1" t="s">
        <v>7</v>
      </c>
      <c r="K2" s="1" t="s">
        <v>8</v>
      </c>
      <c r="L2" s="1" t="s">
        <v>4</v>
      </c>
      <c r="M2" s="1" t="s">
        <v>4</v>
      </c>
      <c r="N2" s="1" t="s">
        <v>9</v>
      </c>
      <c r="O2" s="1" t="s">
        <v>10</v>
      </c>
      <c r="P2" s="1" t="s">
        <v>63</v>
      </c>
    </row>
    <row r="3" spans="1:16" x14ac:dyDescent="0.25">
      <c r="A3" s="1">
        <v>2</v>
      </c>
      <c r="B3" s="8">
        <v>45955.797788171294</v>
      </c>
      <c r="C3" s="1" t="s">
        <v>11</v>
      </c>
      <c r="D3" s="1" t="s">
        <v>12</v>
      </c>
      <c r="E3" s="1" t="s">
        <v>3</v>
      </c>
      <c r="F3" s="1" t="s">
        <v>4</v>
      </c>
      <c r="G3" s="1" t="s">
        <v>13</v>
      </c>
      <c r="H3" s="1" t="s">
        <v>6</v>
      </c>
      <c r="I3" s="1" t="str">
        <f>TRIM(tbl_UPI[[#This Row],[Freq_per_week]])</f>
        <v>3-5 Times</v>
      </c>
      <c r="J3" s="1" t="s">
        <v>14</v>
      </c>
      <c r="K3" s="1" t="s">
        <v>8</v>
      </c>
      <c r="L3" s="1" t="s">
        <v>4</v>
      </c>
      <c r="M3" s="1" t="s">
        <v>4</v>
      </c>
      <c r="N3" s="1" t="s">
        <v>15</v>
      </c>
      <c r="O3" s="1" t="s">
        <v>16</v>
      </c>
      <c r="P3" s="1" t="s">
        <v>63</v>
      </c>
    </row>
    <row r="4" spans="1:16" ht="38.25" x14ac:dyDescent="0.25">
      <c r="A4" s="1">
        <v>3</v>
      </c>
      <c r="B4" s="8">
        <v>45955.803057962963</v>
      </c>
      <c r="C4" s="1" t="s">
        <v>17</v>
      </c>
      <c r="D4" s="1" t="s">
        <v>18</v>
      </c>
      <c r="E4" s="1" t="s">
        <v>3</v>
      </c>
      <c r="F4" s="1" t="s">
        <v>4</v>
      </c>
      <c r="G4" s="1" t="s">
        <v>5</v>
      </c>
      <c r="H4" s="1" t="s">
        <v>19</v>
      </c>
      <c r="I4" s="1" t="str">
        <f>TRIM(tbl_UPI[[#This Row],[Freq_per_week]])</f>
        <v>Daily</v>
      </c>
      <c r="J4" s="1" t="s">
        <v>7</v>
      </c>
      <c r="K4" s="1" t="s">
        <v>8</v>
      </c>
      <c r="L4" s="1" t="s">
        <v>4</v>
      </c>
      <c r="M4" s="1" t="s">
        <v>4</v>
      </c>
      <c r="N4" s="1" t="s">
        <v>15</v>
      </c>
      <c r="O4" s="1" t="s">
        <v>10</v>
      </c>
      <c r="P4" s="9" t="s">
        <v>20</v>
      </c>
    </row>
    <row r="5" spans="1:16" x14ac:dyDescent="0.25">
      <c r="A5" s="1">
        <v>4</v>
      </c>
      <c r="B5" s="8">
        <v>45955.804907407408</v>
      </c>
      <c r="C5" s="1" t="s">
        <v>21</v>
      </c>
      <c r="D5" s="1" t="s">
        <v>165</v>
      </c>
      <c r="E5" s="1" t="s">
        <v>3</v>
      </c>
      <c r="F5" s="1" t="s">
        <v>4</v>
      </c>
      <c r="G5" s="1" t="s">
        <v>5</v>
      </c>
      <c r="H5" s="1" t="s">
        <v>22</v>
      </c>
      <c r="I5" s="1" t="str">
        <f>TRIM(tbl_UPI[[#This Row],[Freq_per_week]])</f>
        <v>1-2 Times</v>
      </c>
      <c r="J5" s="1" t="s">
        <v>23</v>
      </c>
      <c r="K5" s="1" t="s">
        <v>8</v>
      </c>
      <c r="L5" s="1" t="s">
        <v>8</v>
      </c>
      <c r="M5" s="1" t="s">
        <v>4</v>
      </c>
      <c r="N5" s="1" t="s">
        <v>9</v>
      </c>
      <c r="O5" s="1" t="s">
        <v>10</v>
      </c>
      <c r="P5" s="1" t="s">
        <v>63</v>
      </c>
    </row>
    <row r="6" spans="1:16" x14ac:dyDescent="0.25">
      <c r="A6" s="1">
        <v>5</v>
      </c>
      <c r="B6" s="8">
        <v>45955.805817511573</v>
      </c>
      <c r="C6" s="1" t="s">
        <v>24</v>
      </c>
      <c r="D6" s="1" t="s">
        <v>25</v>
      </c>
      <c r="E6" s="1" t="s">
        <v>3</v>
      </c>
      <c r="F6" s="1" t="s">
        <v>4</v>
      </c>
      <c r="G6" s="1" t="s">
        <v>26</v>
      </c>
      <c r="H6" s="1" t="s">
        <v>6</v>
      </c>
      <c r="I6" s="1" t="str">
        <f>TRIM(tbl_UPI[[#This Row],[Freq_per_week]])</f>
        <v>3-5 Times</v>
      </c>
      <c r="J6" s="1" t="s">
        <v>27</v>
      </c>
      <c r="K6" s="1" t="s">
        <v>8</v>
      </c>
      <c r="L6" s="1" t="s">
        <v>4</v>
      </c>
      <c r="M6" s="1" t="s">
        <v>4</v>
      </c>
      <c r="N6" s="1" t="s">
        <v>9</v>
      </c>
      <c r="O6" s="1" t="s">
        <v>28</v>
      </c>
      <c r="P6" s="1" t="s">
        <v>63</v>
      </c>
    </row>
    <row r="7" spans="1:16" x14ac:dyDescent="0.25">
      <c r="A7" s="1">
        <v>6</v>
      </c>
      <c r="B7" s="8">
        <v>45955.805877592589</v>
      </c>
      <c r="C7" s="1" t="s">
        <v>29</v>
      </c>
      <c r="D7" s="1" t="s">
        <v>30</v>
      </c>
      <c r="E7" s="1" t="s">
        <v>3</v>
      </c>
      <c r="F7" s="1" t="s">
        <v>4</v>
      </c>
      <c r="G7" s="1" t="s">
        <v>5</v>
      </c>
      <c r="H7" s="1" t="s">
        <v>6</v>
      </c>
      <c r="I7" s="1" t="str">
        <f>TRIM(tbl_UPI[[#This Row],[Freq_per_week]])</f>
        <v>3-5 Times</v>
      </c>
      <c r="J7" s="1" t="s">
        <v>7</v>
      </c>
      <c r="K7" s="1" t="s">
        <v>8</v>
      </c>
      <c r="L7" s="1" t="s">
        <v>4</v>
      </c>
      <c r="M7" s="1" t="s">
        <v>4</v>
      </c>
      <c r="N7" s="1" t="s">
        <v>15</v>
      </c>
      <c r="O7" s="1" t="s">
        <v>10</v>
      </c>
      <c r="P7" s="1" t="s">
        <v>63</v>
      </c>
    </row>
    <row r="8" spans="1:16" x14ac:dyDescent="0.25">
      <c r="A8" s="1">
        <v>7</v>
      </c>
      <c r="B8" s="8">
        <v>45955.807959085651</v>
      </c>
      <c r="C8" s="1" t="s">
        <v>31</v>
      </c>
      <c r="D8" s="1" t="s">
        <v>32</v>
      </c>
      <c r="E8" s="1" t="s">
        <v>3</v>
      </c>
      <c r="F8" s="1" t="s">
        <v>4</v>
      </c>
      <c r="G8" s="1" t="s">
        <v>5</v>
      </c>
      <c r="H8" s="1" t="s">
        <v>22</v>
      </c>
      <c r="I8" s="1" t="str">
        <f>TRIM(tbl_UPI[[#This Row],[Freq_per_week]])</f>
        <v>1-2 Times</v>
      </c>
      <c r="J8" s="1" t="s">
        <v>23</v>
      </c>
      <c r="K8" s="1" t="s">
        <v>4</v>
      </c>
      <c r="L8" s="1" t="s">
        <v>8</v>
      </c>
      <c r="M8" s="1" t="s">
        <v>4</v>
      </c>
      <c r="N8" s="1" t="s">
        <v>33</v>
      </c>
      <c r="O8" s="1" t="s">
        <v>16</v>
      </c>
      <c r="P8" s="1" t="s">
        <v>63</v>
      </c>
    </row>
    <row r="9" spans="1:16" x14ac:dyDescent="0.25">
      <c r="A9" s="1">
        <v>8</v>
      </c>
      <c r="B9" s="8">
        <v>45955.808638854163</v>
      </c>
      <c r="C9" s="1" t="s">
        <v>34</v>
      </c>
      <c r="D9" s="1" t="s">
        <v>35</v>
      </c>
      <c r="E9" s="1" t="s">
        <v>3</v>
      </c>
      <c r="F9" s="1" t="s">
        <v>4</v>
      </c>
      <c r="G9" s="1" t="s">
        <v>5</v>
      </c>
      <c r="H9" s="1" t="s">
        <v>19</v>
      </c>
      <c r="I9" s="1" t="str">
        <f>TRIM(tbl_UPI[[#This Row],[Freq_per_week]])</f>
        <v>Daily</v>
      </c>
      <c r="J9" s="1" t="s">
        <v>23</v>
      </c>
      <c r="K9" s="1" t="s">
        <v>8</v>
      </c>
      <c r="L9" s="1" t="s">
        <v>4</v>
      </c>
      <c r="M9" s="1" t="s">
        <v>4</v>
      </c>
      <c r="N9" s="1" t="s">
        <v>15</v>
      </c>
      <c r="O9" s="1" t="s">
        <v>10</v>
      </c>
      <c r="P9" s="1" t="s">
        <v>36</v>
      </c>
    </row>
    <row r="10" spans="1:16" x14ac:dyDescent="0.25">
      <c r="A10" s="1">
        <v>9</v>
      </c>
      <c r="B10" s="8">
        <v>45955.808697476852</v>
      </c>
      <c r="C10" s="1" t="s">
        <v>37</v>
      </c>
      <c r="D10" s="1" t="s">
        <v>38</v>
      </c>
      <c r="E10" s="1" t="s">
        <v>3</v>
      </c>
      <c r="F10" s="1" t="s">
        <v>4</v>
      </c>
      <c r="G10" s="1" t="s">
        <v>39</v>
      </c>
      <c r="H10" s="1" t="s">
        <v>19</v>
      </c>
      <c r="I10" s="1" t="str">
        <f>TRIM(tbl_UPI[[#This Row],[Freq_per_week]])</f>
        <v>Daily</v>
      </c>
      <c r="J10" s="1" t="s">
        <v>27</v>
      </c>
      <c r="K10" s="1" t="s">
        <v>8</v>
      </c>
      <c r="L10" s="1" t="s">
        <v>4</v>
      </c>
      <c r="M10" s="1" t="s">
        <v>4</v>
      </c>
      <c r="N10" s="1" t="s">
        <v>15</v>
      </c>
      <c r="O10" s="1" t="s">
        <v>10</v>
      </c>
      <c r="P10" s="1" t="s">
        <v>40</v>
      </c>
    </row>
    <row r="11" spans="1:16" x14ac:dyDescent="0.25">
      <c r="A11" s="1">
        <v>10</v>
      </c>
      <c r="B11" s="8">
        <v>45955.80971454861</v>
      </c>
      <c r="C11" s="1" t="s">
        <v>41</v>
      </c>
      <c r="D11" s="1" t="s">
        <v>42</v>
      </c>
      <c r="E11" s="1" t="s">
        <v>43</v>
      </c>
      <c r="F11" s="1" t="s">
        <v>4</v>
      </c>
      <c r="G11" s="1" t="s">
        <v>13</v>
      </c>
      <c r="H11" s="1" t="s">
        <v>22</v>
      </c>
      <c r="I11" s="1" t="str">
        <f>TRIM(tbl_UPI[[#This Row],[Freq_per_week]])</f>
        <v>1-2 Times</v>
      </c>
      <c r="J11" s="1" t="s">
        <v>7</v>
      </c>
      <c r="K11" s="1" t="s">
        <v>4</v>
      </c>
      <c r="L11" s="1" t="s">
        <v>4</v>
      </c>
      <c r="M11" s="1" t="s">
        <v>8</v>
      </c>
      <c r="N11" s="1" t="s">
        <v>44</v>
      </c>
      <c r="O11" s="1" t="s">
        <v>28</v>
      </c>
      <c r="P11" s="1" t="s">
        <v>63</v>
      </c>
    </row>
    <row r="12" spans="1:16" x14ac:dyDescent="0.25">
      <c r="A12" s="1">
        <v>11</v>
      </c>
      <c r="B12" s="8">
        <v>45955.811651053242</v>
      </c>
      <c r="C12" s="1" t="s">
        <v>45</v>
      </c>
      <c r="D12" s="1" t="s">
        <v>46</v>
      </c>
      <c r="E12" s="1" t="s">
        <v>3</v>
      </c>
      <c r="F12" s="1" t="s">
        <v>4</v>
      </c>
      <c r="G12" s="1" t="s">
        <v>5</v>
      </c>
      <c r="H12" s="1" t="s">
        <v>19</v>
      </c>
      <c r="I12" s="1" t="str">
        <f>TRIM(tbl_UPI[[#This Row],[Freq_per_week]])</f>
        <v>Daily</v>
      </c>
      <c r="J12" s="1" t="s">
        <v>27</v>
      </c>
      <c r="K12" s="1" t="s">
        <v>8</v>
      </c>
      <c r="L12" s="1" t="s">
        <v>4</v>
      </c>
      <c r="M12" s="1" t="s">
        <v>4</v>
      </c>
      <c r="N12" s="1" t="s">
        <v>15</v>
      </c>
      <c r="O12" s="1" t="s">
        <v>16</v>
      </c>
      <c r="P12" s="1" t="s">
        <v>47</v>
      </c>
    </row>
    <row r="13" spans="1:16" x14ac:dyDescent="0.25">
      <c r="A13" s="1">
        <v>12</v>
      </c>
      <c r="B13" s="8">
        <v>45955.814545254631</v>
      </c>
      <c r="C13" s="1" t="s">
        <v>48</v>
      </c>
      <c r="D13" s="1" t="s">
        <v>49</v>
      </c>
      <c r="E13" s="1" t="s">
        <v>3</v>
      </c>
      <c r="F13" s="1" t="s">
        <v>4</v>
      </c>
      <c r="G13" s="1" t="s">
        <v>13</v>
      </c>
      <c r="H13" s="1" t="s">
        <v>19</v>
      </c>
      <c r="I13" s="1" t="str">
        <f>TRIM(tbl_UPI[[#This Row],[Freq_per_week]])</f>
        <v>Daily</v>
      </c>
      <c r="J13" s="1" t="s">
        <v>7</v>
      </c>
      <c r="K13" s="1" t="s">
        <v>8</v>
      </c>
      <c r="L13" s="1" t="s">
        <v>4</v>
      </c>
      <c r="M13" s="1" t="s">
        <v>4</v>
      </c>
      <c r="N13" s="1" t="s">
        <v>33</v>
      </c>
      <c r="O13" s="1" t="s">
        <v>10</v>
      </c>
      <c r="P13" s="1" t="s">
        <v>50</v>
      </c>
    </row>
    <row r="14" spans="1:16" x14ac:dyDescent="0.25">
      <c r="A14" s="1">
        <v>13</v>
      </c>
      <c r="B14" s="8">
        <v>45955.815902118055</v>
      </c>
      <c r="C14" s="1" t="s">
        <v>51</v>
      </c>
      <c r="D14" s="1" t="s">
        <v>52</v>
      </c>
      <c r="E14" s="1" t="s">
        <v>53</v>
      </c>
      <c r="F14" s="1" t="s">
        <v>4</v>
      </c>
      <c r="G14" s="1" t="s">
        <v>5</v>
      </c>
      <c r="H14" s="1" t="s">
        <v>19</v>
      </c>
      <c r="I14" s="1" t="str">
        <f>TRIM(tbl_UPI[[#This Row],[Freq_per_week]])</f>
        <v>Daily</v>
      </c>
      <c r="J14" s="1" t="s">
        <v>27</v>
      </c>
      <c r="K14" s="1" t="s">
        <v>8</v>
      </c>
      <c r="L14" s="1" t="s">
        <v>4</v>
      </c>
      <c r="M14" s="1" t="s">
        <v>4</v>
      </c>
      <c r="N14" s="1" t="s">
        <v>15</v>
      </c>
      <c r="O14" s="1" t="s">
        <v>10</v>
      </c>
      <c r="P14" s="1" t="s">
        <v>63</v>
      </c>
    </row>
    <row r="15" spans="1:16" x14ac:dyDescent="0.25">
      <c r="A15" s="1">
        <v>14</v>
      </c>
      <c r="B15" s="8">
        <v>45955.819725046298</v>
      </c>
      <c r="C15" s="1" t="s">
        <v>54</v>
      </c>
      <c r="D15" s="1" t="s">
        <v>55</v>
      </c>
      <c r="E15" s="1" t="s">
        <v>3</v>
      </c>
      <c r="F15" s="1" t="s">
        <v>4</v>
      </c>
      <c r="G15" s="1" t="s">
        <v>5</v>
      </c>
      <c r="H15" s="1" t="s">
        <v>22</v>
      </c>
      <c r="I15" s="1" t="str">
        <f>TRIM(tbl_UPI[[#This Row],[Freq_per_week]])</f>
        <v>1-2 Times</v>
      </c>
      <c r="J15" s="1" t="s">
        <v>27</v>
      </c>
      <c r="K15" s="1" t="s">
        <v>8</v>
      </c>
      <c r="L15" s="1" t="s">
        <v>4</v>
      </c>
      <c r="M15" s="1" t="s">
        <v>4</v>
      </c>
      <c r="N15" s="1" t="s">
        <v>9</v>
      </c>
      <c r="O15" s="1" t="s">
        <v>10</v>
      </c>
      <c r="P15" s="1" t="s">
        <v>63</v>
      </c>
    </row>
    <row r="16" spans="1:16" x14ac:dyDescent="0.25">
      <c r="A16" s="1">
        <v>15</v>
      </c>
      <c r="B16" s="8">
        <v>45955.828903715279</v>
      </c>
      <c r="C16" s="1" t="s">
        <v>56</v>
      </c>
      <c r="D16" s="1" t="s">
        <v>57</v>
      </c>
      <c r="E16" s="1" t="s">
        <v>43</v>
      </c>
      <c r="F16" s="1" t="s">
        <v>4</v>
      </c>
      <c r="G16" s="1" t="s">
        <v>26</v>
      </c>
      <c r="H16" s="1" t="s">
        <v>6</v>
      </c>
      <c r="I16" s="1" t="str">
        <f>TRIM(tbl_UPI[[#This Row],[Freq_per_week]])</f>
        <v>3-5 Times</v>
      </c>
      <c r="J16" s="1" t="s">
        <v>27</v>
      </c>
      <c r="K16" s="1" t="s">
        <v>8</v>
      </c>
      <c r="L16" s="1" t="s">
        <v>4</v>
      </c>
      <c r="M16" s="1" t="s">
        <v>4</v>
      </c>
      <c r="N16" s="1" t="s">
        <v>15</v>
      </c>
      <c r="O16" s="1" t="s">
        <v>10</v>
      </c>
      <c r="P16" s="1" t="s">
        <v>63</v>
      </c>
    </row>
    <row r="17" spans="1:16" x14ac:dyDescent="0.25">
      <c r="A17" s="1">
        <v>16</v>
      </c>
      <c r="B17" s="8">
        <v>45955.829437696761</v>
      </c>
      <c r="C17" s="1" t="s">
        <v>59</v>
      </c>
      <c r="D17" s="1" t="s">
        <v>60</v>
      </c>
      <c r="E17" s="1" t="s">
        <v>43</v>
      </c>
      <c r="F17" s="1" t="s">
        <v>8</v>
      </c>
      <c r="G17" s="1" t="s">
        <v>26</v>
      </c>
      <c r="H17" s="1" t="s">
        <v>22</v>
      </c>
      <c r="I17" s="1" t="str">
        <f>TRIM(tbl_UPI[[#This Row],[Freq_per_week]])</f>
        <v>1-2 Times</v>
      </c>
      <c r="J17" s="1" t="s">
        <v>14</v>
      </c>
      <c r="K17" s="1" t="s">
        <v>8</v>
      </c>
      <c r="L17" s="1" t="s">
        <v>8</v>
      </c>
      <c r="M17" s="1" t="s">
        <v>8</v>
      </c>
      <c r="N17" s="1" t="s">
        <v>15</v>
      </c>
      <c r="O17" s="1" t="s">
        <v>28</v>
      </c>
      <c r="P17" s="1" t="s">
        <v>63</v>
      </c>
    </row>
    <row r="18" spans="1:16" x14ac:dyDescent="0.25">
      <c r="A18" s="1">
        <v>17</v>
      </c>
      <c r="B18" s="8">
        <v>45955.834874201391</v>
      </c>
      <c r="C18" s="1" t="s">
        <v>61</v>
      </c>
      <c r="D18" s="1" t="s">
        <v>62</v>
      </c>
      <c r="E18" s="1" t="s">
        <v>3</v>
      </c>
      <c r="F18" s="1" t="s">
        <v>4</v>
      </c>
      <c r="G18" s="1" t="s">
        <v>5</v>
      </c>
      <c r="H18" s="1" t="s">
        <v>6</v>
      </c>
      <c r="I18" s="1" t="str">
        <f>TRIM(tbl_UPI[[#This Row],[Freq_per_week]])</f>
        <v>3-5 Times</v>
      </c>
      <c r="J18" s="1" t="s">
        <v>27</v>
      </c>
      <c r="K18" s="1" t="s">
        <v>8</v>
      </c>
      <c r="L18" s="1" t="s">
        <v>4</v>
      </c>
      <c r="M18" s="1" t="s">
        <v>4</v>
      </c>
      <c r="N18" s="1" t="s">
        <v>33</v>
      </c>
      <c r="O18" s="1" t="s">
        <v>10</v>
      </c>
      <c r="P18" s="1" t="s">
        <v>63</v>
      </c>
    </row>
    <row r="19" spans="1:16" x14ac:dyDescent="0.25">
      <c r="A19" s="1">
        <v>18</v>
      </c>
      <c r="B19" s="8">
        <v>45955.836625243057</v>
      </c>
      <c r="C19" s="1" t="s">
        <v>64</v>
      </c>
      <c r="D19" s="1" t="s">
        <v>165</v>
      </c>
      <c r="E19" s="1" t="s">
        <v>53</v>
      </c>
      <c r="F19" s="1" t="s">
        <v>4</v>
      </c>
      <c r="G19" s="1" t="s">
        <v>5</v>
      </c>
      <c r="H19" s="1" t="s">
        <v>6</v>
      </c>
      <c r="I19" s="1" t="str">
        <f>TRIM(tbl_UPI[[#This Row],[Freq_per_week]])</f>
        <v>3-5 Times</v>
      </c>
      <c r="J19" s="1" t="s">
        <v>23</v>
      </c>
      <c r="K19" s="1" t="s">
        <v>8</v>
      </c>
      <c r="L19" s="1" t="s">
        <v>4</v>
      </c>
      <c r="M19" s="1" t="s">
        <v>4</v>
      </c>
      <c r="N19" s="1" t="s">
        <v>9</v>
      </c>
      <c r="O19" s="1" t="s">
        <v>10</v>
      </c>
      <c r="P19" s="1" t="s">
        <v>63</v>
      </c>
    </row>
    <row r="20" spans="1:16" x14ac:dyDescent="0.25">
      <c r="A20" s="1">
        <v>19</v>
      </c>
      <c r="B20" s="8">
        <v>45955.837950810186</v>
      </c>
      <c r="C20" s="1" t="s">
        <v>65</v>
      </c>
      <c r="D20" s="1" t="s">
        <v>66</v>
      </c>
      <c r="E20" s="1" t="s">
        <v>3</v>
      </c>
      <c r="F20" s="1" t="s">
        <v>4</v>
      </c>
      <c r="G20" s="1" t="s">
        <v>5</v>
      </c>
      <c r="H20" s="1" t="s">
        <v>19</v>
      </c>
      <c r="I20" s="1" t="str">
        <f>TRIM(tbl_UPI[[#This Row],[Freq_per_week]])</f>
        <v>Daily</v>
      </c>
      <c r="J20" s="1" t="s">
        <v>14</v>
      </c>
      <c r="K20" s="1" t="s">
        <v>8</v>
      </c>
      <c r="L20" s="1" t="s">
        <v>4</v>
      </c>
      <c r="M20" s="1" t="s">
        <v>4</v>
      </c>
      <c r="N20" s="1" t="s">
        <v>44</v>
      </c>
      <c r="O20" s="1" t="s">
        <v>28</v>
      </c>
      <c r="P20" s="1" t="s">
        <v>63</v>
      </c>
    </row>
    <row r="21" spans="1:16" x14ac:dyDescent="0.25">
      <c r="A21" s="1">
        <v>20</v>
      </c>
      <c r="B21" s="8">
        <v>45955.837987627317</v>
      </c>
      <c r="C21" s="1" t="s">
        <v>67</v>
      </c>
      <c r="D21" s="1" t="s">
        <v>68</v>
      </c>
      <c r="E21" s="1" t="s">
        <v>3</v>
      </c>
      <c r="F21" s="1" t="s">
        <v>4</v>
      </c>
      <c r="G21" s="1" t="s">
        <v>5</v>
      </c>
      <c r="H21" s="1" t="s">
        <v>22</v>
      </c>
      <c r="I21" s="1" t="str">
        <f>TRIM(tbl_UPI[[#This Row],[Freq_per_week]])</f>
        <v>1-2 Times</v>
      </c>
      <c r="J21" s="1" t="s">
        <v>27</v>
      </c>
      <c r="K21" s="1" t="s">
        <v>4</v>
      </c>
      <c r="L21" s="1" t="s">
        <v>4</v>
      </c>
      <c r="M21" s="1" t="s">
        <v>4</v>
      </c>
      <c r="N21" s="1" t="s">
        <v>15</v>
      </c>
      <c r="O21" s="1" t="s">
        <v>16</v>
      </c>
      <c r="P21" s="1" t="s">
        <v>63</v>
      </c>
    </row>
    <row r="22" spans="1:16" x14ac:dyDescent="0.25">
      <c r="A22" s="1">
        <v>21</v>
      </c>
      <c r="B22" s="8">
        <v>45955.838909062499</v>
      </c>
      <c r="C22" s="1" t="s">
        <v>69</v>
      </c>
      <c r="D22" s="1" t="s">
        <v>70</v>
      </c>
      <c r="E22" s="1" t="s">
        <v>53</v>
      </c>
      <c r="F22" s="1" t="s">
        <v>4</v>
      </c>
      <c r="G22" s="1" t="s">
        <v>13</v>
      </c>
      <c r="H22" s="1" t="s">
        <v>19</v>
      </c>
      <c r="I22" s="1" t="str">
        <f>TRIM(tbl_UPI[[#This Row],[Freq_per_week]])</f>
        <v>Daily</v>
      </c>
      <c r="J22" s="1" t="s">
        <v>23</v>
      </c>
      <c r="K22" s="1" t="s">
        <v>8</v>
      </c>
      <c r="L22" s="1" t="s">
        <v>4</v>
      </c>
      <c r="M22" s="1" t="s">
        <v>4</v>
      </c>
      <c r="N22" s="1" t="s">
        <v>15</v>
      </c>
      <c r="O22" s="1" t="s">
        <v>10</v>
      </c>
      <c r="P22" s="1" t="s">
        <v>63</v>
      </c>
    </row>
    <row r="23" spans="1:16" x14ac:dyDescent="0.25">
      <c r="A23" s="1">
        <v>22</v>
      </c>
      <c r="B23" s="8">
        <v>45955.840727430557</v>
      </c>
      <c r="C23" s="1" t="s">
        <v>71</v>
      </c>
      <c r="D23" s="1" t="s">
        <v>60</v>
      </c>
      <c r="E23" s="1" t="s">
        <v>43</v>
      </c>
      <c r="F23" s="1" t="s">
        <v>4</v>
      </c>
      <c r="G23" s="1" t="s">
        <v>5</v>
      </c>
      <c r="H23" s="1" t="s">
        <v>19</v>
      </c>
      <c r="I23" s="1" t="str">
        <f>TRIM(tbl_UPI[[#This Row],[Freq_per_week]])</f>
        <v>Daily</v>
      </c>
      <c r="J23" s="1" t="s">
        <v>14</v>
      </c>
      <c r="K23" s="1" t="s">
        <v>4</v>
      </c>
      <c r="L23" s="1" t="s">
        <v>8</v>
      </c>
      <c r="M23" s="1" t="s">
        <v>8</v>
      </c>
      <c r="N23" s="1" t="s">
        <v>72</v>
      </c>
      <c r="O23" s="1" t="s">
        <v>28</v>
      </c>
      <c r="P23" s="1" t="s">
        <v>63</v>
      </c>
    </row>
    <row r="24" spans="1:16" x14ac:dyDescent="0.25">
      <c r="A24" s="1">
        <v>23</v>
      </c>
      <c r="B24" s="8">
        <v>45955.841352777781</v>
      </c>
      <c r="C24" s="1" t="s">
        <v>73</v>
      </c>
      <c r="D24" s="1" t="s">
        <v>74</v>
      </c>
      <c r="E24" s="1" t="s">
        <v>3</v>
      </c>
      <c r="F24" s="1" t="s">
        <v>4</v>
      </c>
      <c r="G24" s="1" t="s">
        <v>5</v>
      </c>
      <c r="H24" s="1" t="s">
        <v>19</v>
      </c>
      <c r="I24" s="1" t="str">
        <f>TRIM(tbl_UPI[[#This Row],[Freq_per_week]])</f>
        <v>Daily</v>
      </c>
      <c r="J24" s="1" t="s">
        <v>27</v>
      </c>
      <c r="K24" s="1" t="s">
        <v>8</v>
      </c>
      <c r="L24" s="1" t="s">
        <v>4</v>
      </c>
      <c r="M24" s="1" t="s">
        <v>4</v>
      </c>
      <c r="N24" s="1" t="s">
        <v>9</v>
      </c>
      <c r="O24" s="1" t="s">
        <v>28</v>
      </c>
      <c r="P24" s="1" t="s">
        <v>75</v>
      </c>
    </row>
    <row r="25" spans="1:16" x14ac:dyDescent="0.25">
      <c r="A25" s="1">
        <v>24</v>
      </c>
      <c r="B25" s="8">
        <v>45955.844175289349</v>
      </c>
      <c r="C25" s="1" t="s">
        <v>76</v>
      </c>
      <c r="D25" s="1" t="s">
        <v>77</v>
      </c>
      <c r="E25" s="1" t="s">
        <v>78</v>
      </c>
      <c r="F25" s="1" t="s">
        <v>4</v>
      </c>
      <c r="G25" s="1" t="s">
        <v>5</v>
      </c>
      <c r="H25" s="1" t="s">
        <v>6</v>
      </c>
      <c r="I25" s="1" t="str">
        <f>TRIM(tbl_UPI[[#This Row],[Freq_per_week]])</f>
        <v>3-5 Times</v>
      </c>
      <c r="J25" s="1" t="s">
        <v>23</v>
      </c>
      <c r="K25" s="1" t="s">
        <v>4</v>
      </c>
      <c r="L25" s="1" t="s">
        <v>8</v>
      </c>
      <c r="M25" s="1" t="s">
        <v>4</v>
      </c>
      <c r="N25" s="1" t="s">
        <v>9</v>
      </c>
      <c r="O25" s="1" t="s">
        <v>79</v>
      </c>
      <c r="P25" s="1" t="s">
        <v>4</v>
      </c>
    </row>
    <row r="26" spans="1:16" x14ac:dyDescent="0.25">
      <c r="A26" s="1">
        <v>25</v>
      </c>
      <c r="B26" s="8">
        <v>45955.845383680557</v>
      </c>
      <c r="C26" s="1" t="s">
        <v>80</v>
      </c>
      <c r="D26" s="1" t="s">
        <v>81</v>
      </c>
      <c r="E26" s="1" t="s">
        <v>3</v>
      </c>
      <c r="F26" s="1" t="s">
        <v>4</v>
      </c>
      <c r="G26" s="1" t="s">
        <v>5</v>
      </c>
      <c r="H26" s="1" t="s">
        <v>22</v>
      </c>
      <c r="I26" s="1" t="str">
        <f>TRIM(tbl_UPI[[#This Row],[Freq_per_week]])</f>
        <v>1-2 Times</v>
      </c>
      <c r="J26" s="1" t="s">
        <v>14</v>
      </c>
      <c r="K26" s="1" t="s">
        <v>8</v>
      </c>
      <c r="L26" s="1" t="s">
        <v>4</v>
      </c>
      <c r="M26" s="1" t="s">
        <v>4</v>
      </c>
      <c r="N26" s="1" t="s">
        <v>33</v>
      </c>
      <c r="O26" s="1" t="s">
        <v>10</v>
      </c>
      <c r="P26" s="1" t="s">
        <v>63</v>
      </c>
    </row>
    <row r="27" spans="1:16" x14ac:dyDescent="0.25">
      <c r="A27" s="1">
        <v>26</v>
      </c>
      <c r="B27" s="8">
        <v>45955.848582743056</v>
      </c>
      <c r="C27" s="1" t="s">
        <v>82</v>
      </c>
      <c r="D27" s="1" t="s">
        <v>163</v>
      </c>
      <c r="E27" s="1" t="s">
        <v>3</v>
      </c>
      <c r="F27" s="1" t="s">
        <v>4</v>
      </c>
      <c r="G27" s="1" t="s">
        <v>5</v>
      </c>
      <c r="H27" s="1" t="s">
        <v>22</v>
      </c>
      <c r="I27" s="1" t="str">
        <f>TRIM(tbl_UPI[[#This Row],[Freq_per_week]])</f>
        <v>1-2 Times</v>
      </c>
      <c r="J27" s="1" t="s">
        <v>7</v>
      </c>
      <c r="K27" s="1" t="s">
        <v>8</v>
      </c>
      <c r="L27" s="1" t="s">
        <v>4</v>
      </c>
      <c r="M27" s="1" t="s">
        <v>4</v>
      </c>
      <c r="N27" s="1" t="s">
        <v>15</v>
      </c>
      <c r="O27" s="1" t="s">
        <v>10</v>
      </c>
      <c r="P27" s="1" t="s">
        <v>63</v>
      </c>
    </row>
    <row r="28" spans="1:16" x14ac:dyDescent="0.25">
      <c r="A28" s="1">
        <v>27</v>
      </c>
      <c r="B28" s="8">
        <v>45955.84872253472</v>
      </c>
      <c r="C28" s="1" t="s">
        <v>83</v>
      </c>
      <c r="D28" s="1" t="s">
        <v>84</v>
      </c>
      <c r="E28" s="1" t="s">
        <v>3</v>
      </c>
      <c r="F28" s="1" t="s">
        <v>8</v>
      </c>
      <c r="G28" s="1" t="s">
        <v>5</v>
      </c>
      <c r="H28" s="1" t="s">
        <v>6</v>
      </c>
      <c r="I28" s="1" t="str">
        <f>TRIM(tbl_UPI[[#This Row],[Freq_per_week]])</f>
        <v>3-5 Times</v>
      </c>
      <c r="J28" s="1" t="s">
        <v>7</v>
      </c>
      <c r="K28" s="1" t="s">
        <v>8</v>
      </c>
      <c r="L28" s="1" t="s">
        <v>4</v>
      </c>
      <c r="M28" s="1" t="s">
        <v>4</v>
      </c>
      <c r="N28" s="1" t="s">
        <v>15</v>
      </c>
      <c r="O28" s="1" t="s">
        <v>10</v>
      </c>
      <c r="P28" s="1" t="s">
        <v>63</v>
      </c>
    </row>
    <row r="29" spans="1:16" x14ac:dyDescent="0.25">
      <c r="A29" s="1">
        <v>28</v>
      </c>
      <c r="B29" s="8">
        <v>45955.848907615742</v>
      </c>
      <c r="C29" s="1" t="s">
        <v>85</v>
      </c>
      <c r="D29" s="1" t="s">
        <v>86</v>
      </c>
      <c r="E29" s="1" t="s">
        <v>3</v>
      </c>
      <c r="F29" s="1" t="s">
        <v>4</v>
      </c>
      <c r="G29" s="1" t="s">
        <v>13</v>
      </c>
      <c r="H29" s="1" t="s">
        <v>19</v>
      </c>
      <c r="I29" s="1" t="str">
        <f>TRIM(tbl_UPI[[#This Row],[Freq_per_week]])</f>
        <v>Daily</v>
      </c>
      <c r="J29" s="1" t="s">
        <v>27</v>
      </c>
      <c r="K29" s="1" t="s">
        <v>4</v>
      </c>
      <c r="L29" s="1" t="s">
        <v>8</v>
      </c>
      <c r="M29" s="1" t="s">
        <v>4</v>
      </c>
      <c r="N29" s="1" t="s">
        <v>15</v>
      </c>
      <c r="O29" s="1" t="s">
        <v>10</v>
      </c>
      <c r="P29" s="1" t="s">
        <v>87</v>
      </c>
    </row>
    <row r="30" spans="1:16" x14ac:dyDescent="0.25">
      <c r="A30" s="1">
        <v>29</v>
      </c>
      <c r="B30" s="8">
        <v>45955.852130891202</v>
      </c>
      <c r="C30" s="1" t="s">
        <v>88</v>
      </c>
      <c r="D30" s="1" t="s">
        <v>89</v>
      </c>
      <c r="E30" s="1" t="s">
        <v>78</v>
      </c>
      <c r="F30" s="1" t="s">
        <v>4</v>
      </c>
      <c r="G30" s="1" t="s">
        <v>5</v>
      </c>
      <c r="H30" s="1" t="s">
        <v>19</v>
      </c>
      <c r="I30" s="1" t="str">
        <f>TRIM(tbl_UPI[[#This Row],[Freq_per_week]])</f>
        <v>Daily</v>
      </c>
      <c r="J30" s="1" t="s">
        <v>14</v>
      </c>
      <c r="K30" s="1" t="s">
        <v>8</v>
      </c>
      <c r="L30" s="1" t="s">
        <v>4</v>
      </c>
      <c r="M30" s="1" t="s">
        <v>4</v>
      </c>
      <c r="N30" s="1" t="s">
        <v>15</v>
      </c>
      <c r="O30" s="1" t="s">
        <v>16</v>
      </c>
      <c r="P30" s="1" t="s">
        <v>90</v>
      </c>
    </row>
    <row r="31" spans="1:16" x14ac:dyDescent="0.25">
      <c r="A31" s="1">
        <v>30</v>
      </c>
      <c r="B31" s="8">
        <v>45955.853908171295</v>
      </c>
      <c r="C31" s="1" t="s">
        <v>91</v>
      </c>
      <c r="D31" s="1" t="s">
        <v>92</v>
      </c>
      <c r="E31" s="1" t="s">
        <v>3</v>
      </c>
      <c r="F31" s="1" t="s">
        <v>4</v>
      </c>
      <c r="G31" s="1" t="s">
        <v>5</v>
      </c>
      <c r="H31" s="1" t="s">
        <v>22</v>
      </c>
      <c r="I31" s="1" t="str">
        <f>TRIM(tbl_UPI[[#This Row],[Freq_per_week]])</f>
        <v>1-2 Times</v>
      </c>
      <c r="J31" s="1" t="s">
        <v>27</v>
      </c>
      <c r="K31" s="1" t="s">
        <v>8</v>
      </c>
      <c r="L31" s="1" t="s">
        <v>4</v>
      </c>
      <c r="M31" s="1" t="s">
        <v>4</v>
      </c>
      <c r="N31" s="1" t="s">
        <v>33</v>
      </c>
      <c r="O31" s="1" t="s">
        <v>28</v>
      </c>
      <c r="P31" s="1" t="s">
        <v>165</v>
      </c>
    </row>
    <row r="32" spans="1:16" x14ac:dyDescent="0.25">
      <c r="A32" s="1">
        <v>31</v>
      </c>
      <c r="B32" s="8">
        <v>45955.854481423608</v>
      </c>
      <c r="C32" s="1" t="s">
        <v>93</v>
      </c>
      <c r="D32" s="1" t="s">
        <v>94</v>
      </c>
      <c r="E32" s="1" t="s">
        <v>3</v>
      </c>
      <c r="F32" s="1" t="s">
        <v>4</v>
      </c>
      <c r="G32" s="1" t="s">
        <v>5</v>
      </c>
      <c r="H32" s="1" t="s">
        <v>22</v>
      </c>
      <c r="I32" s="1" t="str">
        <f>TRIM(tbl_UPI[[#This Row],[Freq_per_week]])</f>
        <v>1-2 Times</v>
      </c>
      <c r="J32" s="1" t="s">
        <v>27</v>
      </c>
      <c r="K32" s="1" t="s">
        <v>8</v>
      </c>
      <c r="L32" s="1" t="s">
        <v>4</v>
      </c>
      <c r="M32" s="1" t="s">
        <v>8</v>
      </c>
      <c r="N32" s="1" t="s">
        <v>15</v>
      </c>
      <c r="O32" s="1" t="s">
        <v>28</v>
      </c>
      <c r="P32" s="1" t="s">
        <v>8</v>
      </c>
    </row>
    <row r="33" spans="1:16" x14ac:dyDescent="0.25">
      <c r="A33" s="1">
        <v>32</v>
      </c>
      <c r="B33" s="8">
        <v>45955.855043842595</v>
      </c>
      <c r="C33" s="1" t="s">
        <v>95</v>
      </c>
      <c r="D33" s="1" t="s">
        <v>96</v>
      </c>
      <c r="E33" s="1" t="s">
        <v>3</v>
      </c>
      <c r="F33" s="1" t="s">
        <v>4</v>
      </c>
      <c r="G33" s="1" t="s">
        <v>5</v>
      </c>
      <c r="H33" s="1" t="s">
        <v>19</v>
      </c>
      <c r="I33" s="1" t="str">
        <f>TRIM(tbl_UPI[[#This Row],[Freq_per_week]])</f>
        <v>Daily</v>
      </c>
      <c r="J33" s="1" t="s">
        <v>27</v>
      </c>
      <c r="K33" s="1" t="s">
        <v>8</v>
      </c>
      <c r="L33" s="1" t="s">
        <v>4</v>
      </c>
      <c r="M33" s="1" t="s">
        <v>4</v>
      </c>
      <c r="N33" s="1" t="s">
        <v>33</v>
      </c>
      <c r="O33" s="1" t="s">
        <v>16</v>
      </c>
      <c r="P33" s="1" t="s">
        <v>63</v>
      </c>
    </row>
    <row r="34" spans="1:16" x14ac:dyDescent="0.25">
      <c r="A34" s="1">
        <v>33</v>
      </c>
      <c r="B34" s="8">
        <v>45955.856548379626</v>
      </c>
      <c r="C34" s="1" t="s">
        <v>97</v>
      </c>
      <c r="D34" s="1" t="s">
        <v>98</v>
      </c>
      <c r="E34" s="1" t="s">
        <v>3</v>
      </c>
      <c r="F34" s="1" t="s">
        <v>4</v>
      </c>
      <c r="G34" s="1" t="s">
        <v>5</v>
      </c>
      <c r="H34" s="1" t="s">
        <v>19</v>
      </c>
      <c r="I34" s="1" t="str">
        <f>TRIM(tbl_UPI[[#This Row],[Freq_per_week]])</f>
        <v>Daily</v>
      </c>
      <c r="J34" s="1" t="s">
        <v>23</v>
      </c>
      <c r="K34" s="1" t="s">
        <v>8</v>
      </c>
      <c r="L34" s="1" t="s">
        <v>4</v>
      </c>
      <c r="M34" s="1" t="s">
        <v>4</v>
      </c>
      <c r="N34" s="1" t="s">
        <v>15</v>
      </c>
      <c r="O34" s="1" t="s">
        <v>28</v>
      </c>
      <c r="P34" s="1" t="s">
        <v>63</v>
      </c>
    </row>
    <row r="35" spans="1:16" x14ac:dyDescent="0.25">
      <c r="A35" s="1">
        <v>34</v>
      </c>
      <c r="B35" s="8">
        <v>45955.858017708335</v>
      </c>
      <c r="C35" s="1" t="s">
        <v>99</v>
      </c>
      <c r="D35" s="1" t="s">
        <v>100</v>
      </c>
      <c r="E35" s="1" t="s">
        <v>78</v>
      </c>
      <c r="F35" s="1" t="s">
        <v>4</v>
      </c>
      <c r="G35" s="1" t="s">
        <v>13</v>
      </c>
      <c r="H35" s="1" t="s">
        <v>19</v>
      </c>
      <c r="I35" s="1" t="str">
        <f>TRIM(tbl_UPI[[#This Row],[Freq_per_week]])</f>
        <v>Daily</v>
      </c>
      <c r="J35" s="1" t="s">
        <v>23</v>
      </c>
      <c r="K35" s="1" t="s">
        <v>8</v>
      </c>
      <c r="L35" s="1" t="s">
        <v>4</v>
      </c>
      <c r="M35" s="1" t="s">
        <v>4</v>
      </c>
      <c r="N35" s="1" t="s">
        <v>33</v>
      </c>
      <c r="O35" s="1" t="s">
        <v>10</v>
      </c>
      <c r="P35" s="1" t="s">
        <v>63</v>
      </c>
    </row>
    <row r="36" spans="1:16" x14ac:dyDescent="0.25">
      <c r="A36" s="1">
        <v>35</v>
      </c>
      <c r="B36" s="8">
        <v>45955.858538043984</v>
      </c>
      <c r="C36" s="1" t="s">
        <v>101</v>
      </c>
      <c r="D36" s="1" t="s">
        <v>102</v>
      </c>
      <c r="E36" s="1" t="s">
        <v>3</v>
      </c>
      <c r="F36" s="1" t="s">
        <v>4</v>
      </c>
      <c r="G36" s="1" t="s">
        <v>5</v>
      </c>
      <c r="H36" s="1" t="s">
        <v>6</v>
      </c>
      <c r="I36" s="1" t="str">
        <f>TRIM(tbl_UPI[[#This Row],[Freq_per_week]])</f>
        <v>3-5 Times</v>
      </c>
      <c r="J36" s="1" t="s">
        <v>27</v>
      </c>
      <c r="K36" s="1" t="s">
        <v>8</v>
      </c>
      <c r="L36" s="1" t="s">
        <v>4</v>
      </c>
      <c r="M36" s="1" t="s">
        <v>4</v>
      </c>
      <c r="N36" s="1" t="s">
        <v>33</v>
      </c>
      <c r="O36" s="1" t="s">
        <v>10</v>
      </c>
      <c r="P36" s="1" t="s">
        <v>103</v>
      </c>
    </row>
    <row r="37" spans="1:16" x14ac:dyDescent="0.25">
      <c r="A37" s="1">
        <v>36</v>
      </c>
      <c r="B37" s="8">
        <v>45955.867995555556</v>
      </c>
      <c r="C37" s="1" t="s">
        <v>104</v>
      </c>
      <c r="D37" s="1" t="s">
        <v>105</v>
      </c>
      <c r="E37" s="1" t="s">
        <v>3</v>
      </c>
      <c r="F37" s="1" t="s">
        <v>4</v>
      </c>
      <c r="G37" s="1" t="s">
        <v>13</v>
      </c>
      <c r="H37" s="1" t="s">
        <v>19</v>
      </c>
      <c r="I37" s="1" t="str">
        <f>TRIM(tbl_UPI[[#This Row],[Freq_per_week]])</f>
        <v>Daily</v>
      </c>
      <c r="J37" s="1" t="s">
        <v>14</v>
      </c>
      <c r="K37" s="1" t="s">
        <v>4</v>
      </c>
      <c r="L37" s="1" t="s">
        <v>4</v>
      </c>
      <c r="M37" s="1" t="s">
        <v>4</v>
      </c>
      <c r="N37" s="1" t="s">
        <v>15</v>
      </c>
      <c r="O37" s="1" t="s">
        <v>16</v>
      </c>
      <c r="P37" s="1" t="s">
        <v>106</v>
      </c>
    </row>
    <row r="38" spans="1:16" x14ac:dyDescent="0.25">
      <c r="A38" s="1">
        <v>37</v>
      </c>
      <c r="B38" s="8">
        <v>45955.86851375</v>
      </c>
      <c r="C38" s="1" t="s">
        <v>107</v>
      </c>
      <c r="D38" s="1" t="s">
        <v>108</v>
      </c>
      <c r="E38" s="1" t="s">
        <v>3</v>
      </c>
      <c r="F38" s="1" t="s">
        <v>4</v>
      </c>
      <c r="G38" s="1" t="s">
        <v>5</v>
      </c>
      <c r="H38" s="1" t="s">
        <v>19</v>
      </c>
      <c r="I38" s="1" t="str">
        <f>TRIM(tbl_UPI[[#This Row],[Freq_per_week]])</f>
        <v>Daily</v>
      </c>
      <c r="J38" s="1" t="s">
        <v>27</v>
      </c>
      <c r="K38" s="1" t="s">
        <v>8</v>
      </c>
      <c r="L38" s="1" t="s">
        <v>4</v>
      </c>
      <c r="M38" s="1" t="s">
        <v>4</v>
      </c>
      <c r="N38" s="1" t="s">
        <v>15</v>
      </c>
      <c r="O38" s="1" t="s">
        <v>16</v>
      </c>
      <c r="P38" s="1" t="s">
        <v>63</v>
      </c>
    </row>
    <row r="39" spans="1:16" x14ac:dyDescent="0.25">
      <c r="A39" s="1">
        <v>38</v>
      </c>
      <c r="B39" s="8">
        <v>45955.869004768516</v>
      </c>
      <c r="C39" s="1" t="s">
        <v>109</v>
      </c>
      <c r="D39" s="1" t="s">
        <v>110</v>
      </c>
      <c r="E39" s="1" t="s">
        <v>78</v>
      </c>
      <c r="F39" s="1" t="s">
        <v>8</v>
      </c>
      <c r="G39" s="1" t="s">
        <v>13</v>
      </c>
      <c r="H39" s="1" t="s">
        <v>6</v>
      </c>
      <c r="I39" s="1" t="str">
        <f>TRIM(tbl_UPI[[#This Row],[Freq_per_week]])</f>
        <v>3-5 Times</v>
      </c>
      <c r="J39" s="1" t="s">
        <v>23</v>
      </c>
      <c r="K39" s="1" t="s">
        <v>4</v>
      </c>
      <c r="L39" s="1" t="s">
        <v>8</v>
      </c>
      <c r="M39" s="1" t="s">
        <v>4</v>
      </c>
      <c r="N39" s="1" t="s">
        <v>44</v>
      </c>
      <c r="O39" s="1" t="s">
        <v>10</v>
      </c>
      <c r="P39" s="1" t="s">
        <v>63</v>
      </c>
    </row>
    <row r="40" spans="1:16" x14ac:dyDescent="0.25">
      <c r="A40" s="1">
        <v>39</v>
      </c>
      <c r="B40" s="8">
        <v>45955.871156759262</v>
      </c>
      <c r="C40" s="1" t="s">
        <v>111</v>
      </c>
      <c r="D40" s="1" t="s">
        <v>112</v>
      </c>
      <c r="E40" s="1" t="s">
        <v>3</v>
      </c>
      <c r="F40" s="1" t="s">
        <v>4</v>
      </c>
      <c r="G40" s="1" t="s">
        <v>5</v>
      </c>
      <c r="H40" s="1" t="s">
        <v>22</v>
      </c>
      <c r="I40" s="1" t="str">
        <f>TRIM(tbl_UPI[[#This Row],[Freq_per_week]])</f>
        <v>1-2 Times</v>
      </c>
      <c r="J40" s="1" t="s">
        <v>14</v>
      </c>
      <c r="K40" s="1" t="s">
        <v>4</v>
      </c>
      <c r="L40" s="1" t="s">
        <v>4</v>
      </c>
      <c r="M40" s="1" t="s">
        <v>4</v>
      </c>
      <c r="N40" s="1" t="s">
        <v>15</v>
      </c>
      <c r="O40" s="1" t="s">
        <v>28</v>
      </c>
      <c r="P40" s="1" t="s">
        <v>63</v>
      </c>
    </row>
    <row r="41" spans="1:16" x14ac:dyDescent="0.25">
      <c r="A41" s="1">
        <v>40</v>
      </c>
      <c r="B41" s="8">
        <v>45955.880741782406</v>
      </c>
      <c r="C41" s="1" t="s">
        <v>113</v>
      </c>
      <c r="D41" s="1" t="s">
        <v>114</v>
      </c>
      <c r="E41" s="1" t="s">
        <v>3</v>
      </c>
      <c r="F41" s="1" t="s">
        <v>4</v>
      </c>
      <c r="G41" s="1" t="s">
        <v>5</v>
      </c>
      <c r="H41" s="1" t="s">
        <v>19</v>
      </c>
      <c r="I41" s="1" t="str">
        <f>TRIM(tbl_UPI[[#This Row],[Freq_per_week]])</f>
        <v>Daily</v>
      </c>
      <c r="J41" s="1" t="s">
        <v>23</v>
      </c>
      <c r="K41" s="1" t="s">
        <v>8</v>
      </c>
      <c r="L41" s="1" t="s">
        <v>8</v>
      </c>
      <c r="M41" s="1" t="s">
        <v>4</v>
      </c>
      <c r="N41" s="1" t="s">
        <v>15</v>
      </c>
      <c r="O41" s="1" t="s">
        <v>28</v>
      </c>
      <c r="P41" s="1" t="s">
        <v>115</v>
      </c>
    </row>
    <row r="42" spans="1:16" x14ac:dyDescent="0.25">
      <c r="A42" s="1">
        <v>41</v>
      </c>
      <c r="B42" s="8">
        <v>45955.898860729169</v>
      </c>
      <c r="C42" s="1" t="s">
        <v>116</v>
      </c>
      <c r="D42" s="1" t="s">
        <v>117</v>
      </c>
      <c r="E42" s="1" t="s">
        <v>3</v>
      </c>
      <c r="F42" s="1" t="s">
        <v>4</v>
      </c>
      <c r="G42" s="1" t="s">
        <v>5</v>
      </c>
      <c r="H42" s="1" t="s">
        <v>19</v>
      </c>
      <c r="I42" s="1" t="str">
        <f>TRIM(tbl_UPI[[#This Row],[Freq_per_week]])</f>
        <v>Daily</v>
      </c>
      <c r="J42" s="1" t="s">
        <v>27</v>
      </c>
      <c r="K42" s="1" t="s">
        <v>8</v>
      </c>
      <c r="L42" s="1" t="s">
        <v>4</v>
      </c>
      <c r="M42" s="1" t="s">
        <v>4</v>
      </c>
      <c r="N42" s="1" t="s">
        <v>33</v>
      </c>
      <c r="O42" s="1" t="s">
        <v>10</v>
      </c>
      <c r="P42" s="1" t="s">
        <v>118</v>
      </c>
    </row>
    <row r="43" spans="1:16" x14ac:dyDescent="0.25">
      <c r="A43" s="1">
        <v>42</v>
      </c>
      <c r="B43" s="8">
        <v>45955.903098275463</v>
      </c>
      <c r="C43" s="1" t="s">
        <v>119</v>
      </c>
      <c r="D43" s="1" t="s">
        <v>120</v>
      </c>
      <c r="E43" s="1" t="s">
        <v>3</v>
      </c>
      <c r="F43" s="1" t="s">
        <v>4</v>
      </c>
      <c r="G43" s="1" t="s">
        <v>5</v>
      </c>
      <c r="H43" s="1" t="s">
        <v>19</v>
      </c>
      <c r="I43" s="1" t="str">
        <f>TRIM(tbl_UPI[[#This Row],[Freq_per_week]])</f>
        <v>Daily</v>
      </c>
      <c r="J43" s="1" t="s">
        <v>27</v>
      </c>
      <c r="K43" s="1" t="s">
        <v>8</v>
      </c>
      <c r="L43" s="1" t="s">
        <v>4</v>
      </c>
      <c r="M43" s="1" t="s">
        <v>4</v>
      </c>
      <c r="N43" s="1" t="s">
        <v>15</v>
      </c>
      <c r="O43" s="1" t="s">
        <v>28</v>
      </c>
      <c r="P43" s="1" t="s">
        <v>121</v>
      </c>
    </row>
    <row r="44" spans="1:16" x14ac:dyDescent="0.25">
      <c r="A44" s="1">
        <v>43</v>
      </c>
      <c r="B44" s="8">
        <v>45955.986481759261</v>
      </c>
      <c r="C44" s="1" t="s">
        <v>122</v>
      </c>
      <c r="D44" s="1" t="s">
        <v>164</v>
      </c>
      <c r="E44" s="1" t="s">
        <v>3</v>
      </c>
      <c r="F44" s="1" t="s">
        <v>4</v>
      </c>
      <c r="G44" s="1" t="s">
        <v>5</v>
      </c>
      <c r="H44" s="1" t="s">
        <v>6</v>
      </c>
      <c r="I44" s="1" t="str">
        <f>TRIM(tbl_UPI[[#This Row],[Freq_per_week]])</f>
        <v>3-5 Times</v>
      </c>
      <c r="J44" s="1" t="s">
        <v>23</v>
      </c>
      <c r="K44" s="1" t="s">
        <v>8</v>
      </c>
      <c r="L44" s="1" t="s">
        <v>4</v>
      </c>
      <c r="M44" s="1" t="s">
        <v>4</v>
      </c>
      <c r="N44" s="1" t="s">
        <v>15</v>
      </c>
      <c r="O44" s="1" t="s">
        <v>10</v>
      </c>
      <c r="P44" s="1" t="s">
        <v>63</v>
      </c>
    </row>
    <row r="45" spans="1:16" x14ac:dyDescent="0.25">
      <c r="A45" s="1">
        <v>44</v>
      </c>
      <c r="B45" s="8">
        <v>45956.28252148148</v>
      </c>
      <c r="C45" s="1" t="s">
        <v>123</v>
      </c>
      <c r="D45" s="1" t="s">
        <v>124</v>
      </c>
      <c r="E45" s="1" t="s">
        <v>3</v>
      </c>
      <c r="F45" s="1" t="s">
        <v>4</v>
      </c>
      <c r="G45" s="1" t="s">
        <v>5</v>
      </c>
      <c r="H45" s="1" t="s">
        <v>22</v>
      </c>
      <c r="I45" s="1" t="str">
        <f>TRIM(tbl_UPI[[#This Row],[Freq_per_week]])</f>
        <v>1-2 Times</v>
      </c>
      <c r="J45" s="1" t="s">
        <v>27</v>
      </c>
      <c r="K45" s="1" t="s">
        <v>8</v>
      </c>
      <c r="L45" s="1" t="s">
        <v>4</v>
      </c>
      <c r="M45" s="1" t="s">
        <v>4</v>
      </c>
      <c r="N45" s="1" t="s">
        <v>33</v>
      </c>
      <c r="O45" s="1" t="s">
        <v>28</v>
      </c>
      <c r="P45" s="1" t="s">
        <v>125</v>
      </c>
    </row>
    <row r="46" spans="1:16" x14ac:dyDescent="0.25">
      <c r="A46" s="1">
        <v>45</v>
      </c>
      <c r="B46" s="8">
        <v>45956.358706909719</v>
      </c>
      <c r="C46" s="1" t="s">
        <v>126</v>
      </c>
      <c r="D46" s="1" t="s">
        <v>127</v>
      </c>
      <c r="E46" s="1" t="s">
        <v>3</v>
      </c>
      <c r="F46" s="1" t="s">
        <v>4</v>
      </c>
      <c r="G46" s="1" t="s">
        <v>13</v>
      </c>
      <c r="H46" s="1" t="s">
        <v>19</v>
      </c>
      <c r="I46" s="1" t="str">
        <f>TRIM(tbl_UPI[[#This Row],[Freq_per_week]])</f>
        <v>Daily</v>
      </c>
      <c r="J46" s="1" t="s">
        <v>27</v>
      </c>
      <c r="K46" s="1" t="s">
        <v>8</v>
      </c>
      <c r="L46" s="1" t="s">
        <v>8</v>
      </c>
      <c r="M46" s="1" t="s">
        <v>8</v>
      </c>
      <c r="N46" s="1" t="s">
        <v>9</v>
      </c>
      <c r="O46" s="1" t="s">
        <v>28</v>
      </c>
      <c r="P46" s="1" t="s">
        <v>63</v>
      </c>
    </row>
    <row r="47" spans="1:16" x14ac:dyDescent="0.25">
      <c r="A47" s="1">
        <v>46</v>
      </c>
      <c r="B47" s="8">
        <v>45956.372705694441</v>
      </c>
      <c r="C47" s="1" t="s">
        <v>128</v>
      </c>
      <c r="D47" s="1" t="s">
        <v>129</v>
      </c>
      <c r="E47" s="1" t="s">
        <v>3</v>
      </c>
      <c r="F47" s="1" t="s">
        <v>4</v>
      </c>
      <c r="G47" s="1" t="s">
        <v>5</v>
      </c>
      <c r="H47" s="1" t="s">
        <v>6</v>
      </c>
      <c r="I47" s="1" t="str">
        <f>TRIM(tbl_UPI[[#This Row],[Freq_per_week]])</f>
        <v>3-5 Times</v>
      </c>
      <c r="J47" s="1" t="s">
        <v>7</v>
      </c>
      <c r="K47" s="1" t="s">
        <v>8</v>
      </c>
      <c r="L47" s="1" t="s">
        <v>4</v>
      </c>
      <c r="M47" s="1" t="s">
        <v>4</v>
      </c>
      <c r="N47" s="1" t="s">
        <v>33</v>
      </c>
      <c r="O47" s="1" t="s">
        <v>16</v>
      </c>
      <c r="P47" s="1" t="s">
        <v>130</v>
      </c>
    </row>
    <row r="48" spans="1:16" x14ac:dyDescent="0.25">
      <c r="A48" s="1">
        <v>47</v>
      </c>
      <c r="B48" s="8">
        <v>45956.379683935185</v>
      </c>
      <c r="C48" s="1" t="s">
        <v>131</v>
      </c>
      <c r="D48" s="1" t="s">
        <v>132</v>
      </c>
      <c r="E48" s="1" t="s">
        <v>43</v>
      </c>
      <c r="F48" s="1" t="s">
        <v>4</v>
      </c>
      <c r="G48" s="1" t="s">
        <v>5</v>
      </c>
      <c r="H48" s="1" t="s">
        <v>19</v>
      </c>
      <c r="I48" s="1" t="str">
        <f>TRIM(tbl_UPI[[#This Row],[Freq_per_week]])</f>
        <v>Daily</v>
      </c>
      <c r="J48" s="1" t="s">
        <v>27</v>
      </c>
      <c r="K48" s="1" t="s">
        <v>8</v>
      </c>
      <c r="L48" s="1" t="s">
        <v>4</v>
      </c>
      <c r="M48" s="1" t="s">
        <v>4</v>
      </c>
      <c r="N48" s="1" t="s">
        <v>15</v>
      </c>
      <c r="O48" s="1" t="s">
        <v>28</v>
      </c>
      <c r="P48" s="1" t="s">
        <v>133</v>
      </c>
    </row>
    <row r="49" spans="1:16" x14ac:dyDescent="0.25">
      <c r="A49" s="1">
        <v>48</v>
      </c>
      <c r="B49" s="8">
        <v>45956.383013344908</v>
      </c>
      <c r="C49" s="1" t="s">
        <v>134</v>
      </c>
      <c r="D49" s="1" t="s">
        <v>135</v>
      </c>
      <c r="E49" s="1" t="s">
        <v>78</v>
      </c>
      <c r="F49" s="1" t="s">
        <v>4</v>
      </c>
      <c r="G49" s="1" t="s">
        <v>13</v>
      </c>
      <c r="H49" s="1" t="s">
        <v>19</v>
      </c>
      <c r="I49" s="1" t="str">
        <f>TRIM(tbl_UPI[[#This Row],[Freq_per_week]])</f>
        <v>Daily</v>
      </c>
      <c r="J49" s="1" t="s">
        <v>7</v>
      </c>
      <c r="K49" s="1" t="s">
        <v>8</v>
      </c>
      <c r="L49" s="1" t="s">
        <v>4</v>
      </c>
      <c r="M49" s="1" t="s">
        <v>4</v>
      </c>
      <c r="N49" s="1" t="s">
        <v>33</v>
      </c>
      <c r="O49" s="1" t="s">
        <v>10</v>
      </c>
      <c r="P49" s="1" t="s">
        <v>63</v>
      </c>
    </row>
    <row r="50" spans="1:16" x14ac:dyDescent="0.25">
      <c r="A50" s="1">
        <v>49</v>
      </c>
      <c r="B50" s="8">
        <v>45956.394950393522</v>
      </c>
      <c r="C50" s="1" t="s">
        <v>136</v>
      </c>
      <c r="D50" s="1" t="s">
        <v>137</v>
      </c>
      <c r="E50" s="1" t="s">
        <v>3</v>
      </c>
      <c r="F50" s="1" t="s">
        <v>4</v>
      </c>
      <c r="G50" s="1" t="s">
        <v>5</v>
      </c>
      <c r="H50" s="1" t="s">
        <v>19</v>
      </c>
      <c r="I50" s="1" t="str">
        <f>TRIM(tbl_UPI[[#This Row],[Freq_per_week]])</f>
        <v>Daily</v>
      </c>
      <c r="J50" s="1" t="s">
        <v>27</v>
      </c>
      <c r="K50" s="1" t="s">
        <v>8</v>
      </c>
      <c r="L50" s="1" t="s">
        <v>4</v>
      </c>
      <c r="M50" s="1" t="s">
        <v>4</v>
      </c>
      <c r="N50" s="1" t="s">
        <v>15</v>
      </c>
      <c r="O50" s="1" t="s">
        <v>16</v>
      </c>
      <c r="P50" s="1" t="s">
        <v>63</v>
      </c>
    </row>
    <row r="51" spans="1:16" x14ac:dyDescent="0.25">
      <c r="A51" s="1">
        <v>50</v>
      </c>
      <c r="B51" s="8">
        <v>45956.425561180557</v>
      </c>
      <c r="C51" s="1" t="s">
        <v>138</v>
      </c>
      <c r="D51" s="1" t="s">
        <v>139</v>
      </c>
      <c r="E51" s="1" t="s">
        <v>3</v>
      </c>
      <c r="F51" s="1" t="s">
        <v>4</v>
      </c>
      <c r="G51" s="1" t="s">
        <v>5</v>
      </c>
      <c r="H51" s="1" t="s">
        <v>6</v>
      </c>
      <c r="I51" s="1" t="str">
        <f>TRIM(tbl_UPI[[#This Row],[Freq_per_week]])</f>
        <v>3-5 Times</v>
      </c>
      <c r="J51" s="1" t="s">
        <v>23</v>
      </c>
      <c r="K51" s="1" t="s">
        <v>8</v>
      </c>
      <c r="L51" s="1" t="s">
        <v>4</v>
      </c>
      <c r="M51" s="1" t="s">
        <v>4</v>
      </c>
      <c r="N51" s="1" t="s">
        <v>15</v>
      </c>
      <c r="O51" s="1" t="s">
        <v>10</v>
      </c>
      <c r="P51" s="1" t="s">
        <v>140</v>
      </c>
    </row>
    <row r="52" spans="1:16" x14ac:dyDescent="0.25">
      <c r="A52" s="1">
        <v>51</v>
      </c>
      <c r="B52" s="8">
        <v>45956.451180509262</v>
      </c>
      <c r="C52" s="1" t="s">
        <v>141</v>
      </c>
      <c r="D52" s="1" t="s">
        <v>142</v>
      </c>
      <c r="E52" s="1" t="s">
        <v>43</v>
      </c>
      <c r="F52" s="1" t="s">
        <v>4</v>
      </c>
      <c r="G52" s="1" t="s">
        <v>26</v>
      </c>
      <c r="H52" s="1" t="s">
        <v>22</v>
      </c>
      <c r="I52" s="1" t="str">
        <f>TRIM(tbl_UPI[[#This Row],[Freq_per_week]])</f>
        <v>1-2 Times</v>
      </c>
      <c r="J52" s="1" t="s">
        <v>7</v>
      </c>
      <c r="K52" s="1" t="s">
        <v>8</v>
      </c>
      <c r="L52" s="1" t="s">
        <v>4</v>
      </c>
      <c r="M52" s="1" t="s">
        <v>4</v>
      </c>
      <c r="N52" s="1" t="s">
        <v>15</v>
      </c>
      <c r="O52" s="1" t="s">
        <v>10</v>
      </c>
      <c r="P52" s="1" t="s">
        <v>63</v>
      </c>
    </row>
    <row r="53" spans="1:16" x14ac:dyDescent="0.25">
      <c r="A53" s="1">
        <v>52</v>
      </c>
      <c r="B53" s="8">
        <v>45956.457580069444</v>
      </c>
      <c r="C53" s="1" t="s">
        <v>143</v>
      </c>
      <c r="D53" s="1" t="s">
        <v>144</v>
      </c>
      <c r="E53" s="1" t="s">
        <v>53</v>
      </c>
      <c r="F53" s="1" t="s">
        <v>4</v>
      </c>
      <c r="G53" s="1" t="s">
        <v>5</v>
      </c>
      <c r="H53" s="1" t="s">
        <v>22</v>
      </c>
      <c r="I53" s="1" t="str">
        <f>TRIM(tbl_UPI[[#This Row],[Freq_per_week]])</f>
        <v>1-2 Times</v>
      </c>
      <c r="J53" s="1" t="s">
        <v>23</v>
      </c>
      <c r="K53" s="1" t="s">
        <v>8</v>
      </c>
      <c r="L53" s="1" t="s">
        <v>4</v>
      </c>
      <c r="M53" s="1" t="s">
        <v>4</v>
      </c>
      <c r="N53" s="1" t="s">
        <v>15</v>
      </c>
      <c r="O53" s="1" t="s">
        <v>28</v>
      </c>
      <c r="P53" s="1" t="s">
        <v>145</v>
      </c>
    </row>
    <row r="54" spans="1:16" x14ac:dyDescent="0.25">
      <c r="A54" s="1">
        <v>53</v>
      </c>
      <c r="B54" s="8">
        <v>45956.462290219904</v>
      </c>
      <c r="C54" s="1" t="s">
        <v>146</v>
      </c>
      <c r="D54" s="1" t="s">
        <v>165</v>
      </c>
      <c r="E54" s="1" t="s">
        <v>53</v>
      </c>
      <c r="F54" s="1" t="s">
        <v>4</v>
      </c>
      <c r="G54" s="1" t="s">
        <v>5</v>
      </c>
      <c r="H54" s="1" t="s">
        <v>6</v>
      </c>
      <c r="I54" s="1" t="str">
        <f>TRIM(tbl_UPI[[#This Row],[Freq_per_week]])</f>
        <v>3-5 Times</v>
      </c>
      <c r="J54" s="1" t="s">
        <v>23</v>
      </c>
      <c r="K54" s="1" t="s">
        <v>8</v>
      </c>
      <c r="L54" s="1" t="s">
        <v>4</v>
      </c>
      <c r="M54" s="1" t="s">
        <v>4</v>
      </c>
      <c r="N54" s="1" t="s">
        <v>9</v>
      </c>
      <c r="O54" s="1" t="s">
        <v>28</v>
      </c>
      <c r="P54" s="1" t="s">
        <v>63</v>
      </c>
    </row>
    <row r="55" spans="1:16" x14ac:dyDescent="0.25">
      <c r="A55" s="1">
        <v>54</v>
      </c>
      <c r="B55" s="8">
        <v>45956.466886574075</v>
      </c>
      <c r="C55" s="1" t="s">
        <v>147</v>
      </c>
      <c r="D55" s="1" t="s">
        <v>148</v>
      </c>
      <c r="E55" s="1" t="s">
        <v>3</v>
      </c>
      <c r="F55" s="1" t="s">
        <v>4</v>
      </c>
      <c r="G55" s="1" t="s">
        <v>5</v>
      </c>
      <c r="H55" s="1" t="s">
        <v>19</v>
      </c>
      <c r="I55" s="1" t="str">
        <f>TRIM(tbl_UPI[[#This Row],[Freq_per_week]])</f>
        <v>Daily</v>
      </c>
      <c r="J55" s="1" t="s">
        <v>27</v>
      </c>
      <c r="K55" s="1" t="s">
        <v>8</v>
      </c>
      <c r="L55" s="1" t="s">
        <v>4</v>
      </c>
      <c r="M55" s="1" t="s">
        <v>4</v>
      </c>
      <c r="N55" s="1" t="s">
        <v>15</v>
      </c>
      <c r="O55" s="1" t="s">
        <v>10</v>
      </c>
      <c r="P55" s="1" t="s">
        <v>165</v>
      </c>
    </row>
    <row r="56" spans="1:16" x14ac:dyDescent="0.25">
      <c r="A56" s="1">
        <v>55</v>
      </c>
      <c r="B56" s="8">
        <v>45956.483261516201</v>
      </c>
      <c r="C56" s="1" t="s">
        <v>149</v>
      </c>
      <c r="D56" s="1" t="s">
        <v>150</v>
      </c>
      <c r="E56" s="1" t="s">
        <v>53</v>
      </c>
      <c r="F56" s="1" t="s">
        <v>4</v>
      </c>
      <c r="G56" s="1" t="s">
        <v>13</v>
      </c>
      <c r="H56" s="1" t="s">
        <v>19</v>
      </c>
      <c r="I56" s="1" t="str">
        <f>TRIM(tbl_UPI[[#This Row],[Freq_per_week]])</f>
        <v>Daily</v>
      </c>
      <c r="J56" s="1" t="s">
        <v>7</v>
      </c>
      <c r="K56" s="1" t="s">
        <v>8</v>
      </c>
      <c r="L56" s="1" t="s">
        <v>4</v>
      </c>
      <c r="M56" s="1" t="s">
        <v>4</v>
      </c>
      <c r="N56" s="1" t="s">
        <v>15</v>
      </c>
      <c r="O56" s="1" t="s">
        <v>28</v>
      </c>
      <c r="P56" s="1" t="s">
        <v>63</v>
      </c>
    </row>
    <row r="57" spans="1:16" x14ac:dyDescent="0.25">
      <c r="A57" s="1">
        <v>56</v>
      </c>
      <c r="B57" s="8">
        <v>45956.502143495367</v>
      </c>
      <c r="C57" s="1" t="s">
        <v>151</v>
      </c>
      <c r="D57" s="1" t="s">
        <v>152</v>
      </c>
      <c r="E57" s="1" t="s">
        <v>78</v>
      </c>
      <c r="F57" s="1" t="s">
        <v>4</v>
      </c>
      <c r="G57" s="1" t="s">
        <v>5</v>
      </c>
      <c r="H57" s="1" t="s">
        <v>19</v>
      </c>
      <c r="I57" s="1" t="str">
        <f>TRIM(tbl_UPI[[#This Row],[Freq_per_week]])</f>
        <v>Daily</v>
      </c>
      <c r="J57" s="1" t="s">
        <v>23</v>
      </c>
      <c r="K57" s="1" t="s">
        <v>4</v>
      </c>
      <c r="L57" s="1" t="s">
        <v>4</v>
      </c>
      <c r="M57" s="1" t="s">
        <v>4</v>
      </c>
      <c r="N57" s="1" t="s">
        <v>15</v>
      </c>
      <c r="O57" s="1" t="s">
        <v>28</v>
      </c>
      <c r="P57" s="1" t="s">
        <v>63</v>
      </c>
    </row>
    <row r="58" spans="1:16" x14ac:dyDescent="0.25">
      <c r="A58" s="1">
        <v>57</v>
      </c>
      <c r="B58" s="8">
        <v>45956.510937013889</v>
      </c>
      <c r="C58" s="1" t="s">
        <v>153</v>
      </c>
      <c r="D58" s="1" t="s">
        <v>154</v>
      </c>
      <c r="E58" s="1" t="s">
        <v>3</v>
      </c>
      <c r="F58" s="1" t="s">
        <v>4</v>
      </c>
      <c r="G58" s="1" t="s">
        <v>5</v>
      </c>
      <c r="H58" s="1" t="s">
        <v>6</v>
      </c>
      <c r="I58" s="1" t="str">
        <f>TRIM(tbl_UPI[[#This Row],[Freq_per_week]])</f>
        <v>3-5 Times</v>
      </c>
      <c r="J58" s="1" t="s">
        <v>14</v>
      </c>
      <c r="K58" s="1" t="s">
        <v>8</v>
      </c>
      <c r="L58" s="1" t="s">
        <v>4</v>
      </c>
      <c r="M58" s="1" t="s">
        <v>4</v>
      </c>
      <c r="N58" s="1" t="s">
        <v>15</v>
      </c>
      <c r="O58" s="1" t="s">
        <v>16</v>
      </c>
      <c r="P58" s="1" t="s">
        <v>63</v>
      </c>
    </row>
    <row r="59" spans="1:16" x14ac:dyDescent="0.25">
      <c r="A59" s="1">
        <v>58</v>
      </c>
      <c r="B59" s="8">
        <v>45956.519636331017</v>
      </c>
      <c r="C59" s="1" t="s">
        <v>155</v>
      </c>
      <c r="D59" s="1" t="s">
        <v>156</v>
      </c>
      <c r="E59" s="1" t="s">
        <v>3</v>
      </c>
      <c r="F59" s="1" t="s">
        <v>4</v>
      </c>
      <c r="G59" s="1" t="s">
        <v>13</v>
      </c>
      <c r="H59" s="1" t="s">
        <v>19</v>
      </c>
      <c r="I59" s="1" t="str">
        <f>TRIM(tbl_UPI[[#This Row],[Freq_per_week]])</f>
        <v>Daily</v>
      </c>
      <c r="J59" s="1" t="s">
        <v>27</v>
      </c>
      <c r="K59" s="1" t="s">
        <v>8</v>
      </c>
      <c r="L59" s="1" t="s">
        <v>8</v>
      </c>
      <c r="M59" s="1" t="s">
        <v>8</v>
      </c>
      <c r="N59" s="1" t="s">
        <v>33</v>
      </c>
      <c r="O59" s="1" t="s">
        <v>16</v>
      </c>
      <c r="P59" s="1" t="s">
        <v>157</v>
      </c>
    </row>
    <row r="60" spans="1:16" x14ac:dyDescent="0.25">
      <c r="A60" s="1">
        <v>59</v>
      </c>
      <c r="B60" s="8">
        <v>45956.558915914349</v>
      </c>
      <c r="C60" s="1" t="s">
        <v>158</v>
      </c>
      <c r="D60" s="1" t="s">
        <v>159</v>
      </c>
      <c r="E60" s="1" t="s">
        <v>3</v>
      </c>
      <c r="F60" s="1" t="s">
        <v>4</v>
      </c>
      <c r="G60" s="1" t="s">
        <v>5</v>
      </c>
      <c r="H60" s="1" t="s">
        <v>19</v>
      </c>
      <c r="I60" s="1" t="str">
        <f>TRIM(tbl_UPI[[#This Row],[Freq_per_week]])</f>
        <v>Daily</v>
      </c>
      <c r="J60" s="1" t="s">
        <v>27</v>
      </c>
      <c r="K60" s="1" t="s">
        <v>8</v>
      </c>
      <c r="L60" s="1" t="s">
        <v>4</v>
      </c>
      <c r="M60" s="1" t="s">
        <v>4</v>
      </c>
      <c r="N60" s="1" t="s">
        <v>9</v>
      </c>
      <c r="O60" s="1" t="s">
        <v>10</v>
      </c>
      <c r="P60" s="1" t="s">
        <v>160</v>
      </c>
    </row>
    <row r="61" spans="1:16" x14ac:dyDescent="0.25">
      <c r="A61" s="1">
        <v>60</v>
      </c>
      <c r="B61" s="8">
        <v>45956.637335601852</v>
      </c>
      <c r="C61" s="1" t="s">
        <v>161</v>
      </c>
      <c r="D61" s="1" t="s">
        <v>162</v>
      </c>
      <c r="E61" s="1" t="s">
        <v>3</v>
      </c>
      <c r="F61" s="1" t="s">
        <v>4</v>
      </c>
      <c r="G61" s="1" t="s">
        <v>5</v>
      </c>
      <c r="H61" s="1" t="s">
        <v>19</v>
      </c>
      <c r="I61" s="1" t="str">
        <f>TRIM(tbl_UPI[[#This Row],[Freq_per_week]])</f>
        <v>Daily</v>
      </c>
      <c r="J61" s="1" t="s">
        <v>7</v>
      </c>
      <c r="K61" s="1" t="s">
        <v>8</v>
      </c>
      <c r="L61" s="1" t="s">
        <v>4</v>
      </c>
      <c r="M61" s="1" t="s">
        <v>4</v>
      </c>
      <c r="N61" s="1" t="s">
        <v>15</v>
      </c>
      <c r="O61" s="1" t="s">
        <v>16</v>
      </c>
      <c r="P61" s="1" t="s">
        <v>63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E6DEE-DD6F-4A6E-B0BD-8C80C4160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 set</vt:lpstr>
      <vt:lpstr>power query's clean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rehan khan</cp:lastModifiedBy>
  <dcterms:created xsi:type="dcterms:W3CDTF">2025-10-26T16:22:47Z</dcterms:created>
  <dcterms:modified xsi:type="dcterms:W3CDTF">2025-12-09T14:15:27Z</dcterms:modified>
</cp:coreProperties>
</file>