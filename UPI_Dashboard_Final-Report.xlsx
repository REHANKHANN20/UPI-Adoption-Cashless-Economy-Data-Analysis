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3.xml" ContentType="application/vnd.openxmlformats-officedocument.drawingml.chart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14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15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7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18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7.xml" ContentType="application/vnd.openxmlformats-officedocument.spreadsheetml.pivotTable+xml"/>
  <Override PartName="/xl/drawings/drawing8.xml" ContentType="application/vnd.openxmlformats-officedocument.drawing+xml"/>
  <Override PartName="/xl/charts/chart19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8.xml" ContentType="application/vnd.openxmlformats-officedocument.spreadsheetml.pivotTable+xml"/>
  <Override PartName="/xl/drawings/drawing9.xml" ContentType="application/vnd.openxmlformats-officedocument.drawing+xml"/>
  <Override PartName="/xl/charts/chart20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9.xml" ContentType="application/vnd.openxmlformats-officedocument.spreadsheetml.pivotTable+xml"/>
  <Override PartName="/xl/drawings/drawing10.xml" ContentType="application/vnd.openxmlformats-officedocument.drawing+xml"/>
  <Override PartName="/xl/charts/chart21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pivotTables/pivotTable10.xml" ContentType="application/vnd.openxmlformats-officedocument.spreadsheetml.pivotTable+xml"/>
  <Override PartName="/xl/drawings/drawing11.xml" ContentType="application/vnd.openxmlformats-officedocument.drawing+xml"/>
  <Override PartName="/xl/charts/chart22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pivotTables/pivotTable11.xml" ContentType="application/vnd.openxmlformats-officedocument.spreadsheetml.pivotTable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pivotTables/pivotTable12.xml" ContentType="application/vnd.openxmlformats-officedocument.spreadsheetml.pivotTable+xml"/>
  <Override PartName="/xl/drawings/drawing13.xml" ContentType="application/vnd.openxmlformats-officedocument.drawing+xml"/>
  <Override PartName="/xl/charts/chart24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excel\"/>
    </mc:Choice>
  </mc:AlternateContent>
  <xr:revisionPtr revIDLastSave="0" documentId="13_ncr:1_{E8CAF208-2FE8-45F4-A80F-871637D64464}" xr6:coauthVersionLast="47" xr6:coauthVersionMax="47" xr10:uidLastSave="{00000000-0000-0000-0000-000000000000}"/>
  <bookViews>
    <workbookView xWindow="-120" yWindow="-120" windowWidth="20640" windowHeight="11160" tabRatio="907" firstSheet="11" activeTab="16" xr2:uid="{82F74ACD-C2BA-41E6-BDE5-1799E9202E6F}"/>
  </bookViews>
  <sheets>
    <sheet name="UPI Dashboard" sheetId="39" r:id="rId1"/>
    <sheet name="Dashboard Explanation" sheetId="43" r:id="rId2"/>
    <sheet name="Project_Summary" sheetId="38" r:id="rId3"/>
    <sheet name="Pvt_Freq" sheetId="10" r:id="rId4"/>
    <sheet name="FREQ_USES" sheetId="11" r:id="rId5"/>
    <sheet name="PURPOSE_USE" sheetId="12" r:id="rId6"/>
    <sheet name="ISSU_FACED" sheetId="13" r:id="rId7"/>
    <sheet name="PERCEP_SECUR" sheetId="14" r:id="rId8"/>
    <sheet name="Perc__Benefit" sheetId="15" r:id="rId9"/>
    <sheet name="Prim_Uses_Reason" sheetId="17" r:id="rId10"/>
    <sheet name="NonUser_Reason" sheetId="18" r:id="rId11"/>
    <sheet name="App_Age_segment" sheetId="19" r:id="rId12"/>
    <sheet name="Secur__Satisfac" sheetId="21" r:id="rId13"/>
    <sheet name="PurpUse_FreqUse" sheetId="22" r:id="rId14"/>
    <sheet name="reason_notUseUPIvsAgeGroup" sheetId="23" r:id="rId15"/>
    <sheet name="KPI" sheetId="5" r:id="rId16"/>
    <sheet name="power query's clean data set" sheetId="3" r:id="rId17"/>
    <sheet name="clean data set" sheetId="1" r:id="rId18"/>
    <sheet name="Lookup" sheetId="6" r:id="rId19"/>
  </sheets>
  <definedNames>
    <definedName name="ExternalData_1" localSheetId="16" hidden="1">'power query''s clean data set'!$A$1:$P$61</definedName>
  </definedNames>
  <calcPr calcId="191028"/>
  <pivotCaches>
    <pivotCache cacheId="5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5" l="1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B5" i="5"/>
  <c r="B3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DEB6F1-BF9E-4A80-AF68-C82A4E527698}" keepAlive="1" name="Query - Form_Responses" description="Connection to the 'Form_Responses' query in the workbook." type="5" refreshedVersion="7" background="1" saveData="1">
    <dbPr connection="Provider=Microsoft.Mashup.OleDb.1;Data Source=$Workbook$;Location=Form_Responses;Extended Properties=&quot;&quot;" command="SELECT * FROM [Form_Responses]"/>
  </connection>
</connections>
</file>

<file path=xl/sharedStrings.xml><?xml version="1.0" encoding="utf-8"?>
<sst xmlns="http://schemas.openxmlformats.org/spreadsheetml/2006/main" count="1734" uniqueCount="228">
  <si>
    <t>UPI &amp; Cashless Economy Survey Dashboard (2025)</t>
  </si>
  <si>
    <t>An analytical overview of UPI adoption, frequency, and public perception in 2025.</t>
  </si>
  <si>
    <t>📊 KPI's SECTION</t>
  </si>
  <si>
    <t xml:space="preserve">    </t>
  </si>
  <si>
    <t>📊 Prepared by Rehan Khan | SY B.Sc (Data Science) | UPI &amp; Cashless Economy Survey Dashboard (2025)</t>
  </si>
  <si>
    <t>Title</t>
  </si>
  <si>
    <t>UPI &amp; Cashless Economy Survey Dashboard – Analysis Report (2025)</t>
  </si>
  <si>
    <t>Objective</t>
  </si>
  <si>
    <t>To analyze the awareness, usage, and satisfaction of users with UPI and cashless payment systems.</t>
  </si>
  <si>
    <t>Tools Used:</t>
  </si>
  <si>
    <t>Microsoft Excel (PivotTables, Charts, Slicers, Formatting)</t>
  </si>
  <si>
    <t>Key Findings:</t>
  </si>
  <si>
    <t>90% respondents use UPI for daily transactions
Google Pay is the most preferred app
Young adults (18–25) are the largest user group
Most users rated UPI as “Highly Convenient</t>
  </si>
  <si>
    <t>Conclusion</t>
  </si>
  <si>
    <t>UPI has become the backbone of India’s cashless economy, especially among youth. Continuous improvement in security and transaction speed will boost adoption further.</t>
  </si>
  <si>
    <t>Prepared by:</t>
  </si>
  <si>
    <t xml:space="preserve"> Rehan Khan (SY B.Sc Data Science, Mumbai University)</t>
  </si>
  <si>
    <t>Project_Summary</t>
  </si>
  <si>
    <t>title</t>
  </si>
  <si>
    <t>UPI &amp; Cashless Economy — Project Summary</t>
  </si>
  <si>
    <t>project intro</t>
  </si>
  <si>
    <t>Ye workbook UPI survey (N = 60) ka analysis hai — data cleaning, KPIs, pivot analyses, advanced comparisons aur dashboard sab included</t>
  </si>
  <si>
    <t>Data source &amp; columns</t>
  </si>
  <si>
    <t xml:space="preserve">Data source: Google Form responses → cleaned in power query's clean data set. 
Key columns: Respondent_ID, Timestamp, Name, Email, Age_Group, Uses_UPI, Primary_App, Freq_per_week, Purpose_Main, Issues_Flag, Perceive_Secure, Perceive_Benefit, Primary_Reasons, NonUser_Reason, Extra_features </t>
  </si>
  <si>
    <t>Sheet map (what each sheet contains)</t>
  </si>
  <si>
    <t>power query's clean data set / clean data set — Cleaned raw responses (master table).
KPI — Top metrics (Total respondents, % UPI users, % secure, Avg weekly use, % facing issues).
Pvt_Freq / FREQ_USES — Frequency pivot (counts by 1-2 / 3-5 / Daily).
Pvt_App / Primary_App — App usage pivot (Google Pay, PhonePe, Paytm, Others).
PURPOSE_USE — Purpose pivot (shopping, bills, transfer).
ISSU_FACED — Issues faced pivot (Yes / No).
PERCEP_SECUR — Perception of security pivot.
Perc__Benefit — Perceived benefit pivot.
Prim_Uses_Reason — Primary reasons (convenience, speed, govt, merchant).
NonUser_Reason — Reasons for not using UPI (filtered to non-users).
App_Age_segment, Secur__Satisfac, PurpUse_FreqUse, reason_notUseUPIvsAgeGroup — Advanced comparative pivots (App vs Age, Security vs Satisfaction, Purpose vs Frequency, Non-user reason vs Age).
Lookup — helper table (e.g., freq score mapping).
UPI Dashboard — (to be created) final charts + KPIs + slicers.
Insights — (to be created) 1-line findings + 1-line recommendations per chart.
Project_Info — (to be added) Team names &amp; roles + date + version.</t>
  </si>
  <si>
    <t>How to refresh &amp; check (quick)</t>
  </si>
  <si>
    <t>If you change raw data: Data → Refresh All (or right-click Pivot → Refresh).
KPI cells are linked to pivot/table cells — check them after refresh.
If a pivot shows unexpected totals, open the pivot filter and ensure Uses_UPI is set correctly (filter out No where needed).
If any pivot or chart overlaps after filtering, move charts or add blank rows/columns between pivot ranges.</t>
  </si>
  <si>
    <t>Next immediate action (recommended)</t>
  </si>
  <si>
    <t>Create UPI Dashboard sheet and paste top 8 main charts + additional charts+ KPI tiles.
Create Insights sheet: for each chart add “Finding (1 line)” + “Recommendation (1 line)”.
Add Project_Info sheet and save final versions.</t>
  </si>
  <si>
    <t>Contact / owner</t>
  </si>
  <si>
    <t>Prepared by: Rehan Khan (Data &amp; Excel Lead) — for corrections contact me in group.</t>
  </si>
  <si>
    <t>Row Labels</t>
  </si>
  <si>
    <t>Count of Respondent_ID</t>
  </si>
  <si>
    <t>Fampay</t>
  </si>
  <si>
    <t>Google Pay</t>
  </si>
  <si>
    <t>Paytm</t>
  </si>
  <si>
    <t>PhonePe</t>
  </si>
  <si>
    <t>Grand Total</t>
  </si>
  <si>
    <t>1-2 Times</t>
  </si>
  <si>
    <t>3-5 Times</t>
  </si>
  <si>
    <t>Daily</t>
  </si>
  <si>
    <t>Bill Payments</t>
  </si>
  <si>
    <t>Local grocery/Kirana Shop</t>
  </si>
  <si>
    <t>Money Transfer</t>
  </si>
  <si>
    <t>Online Shopping</t>
  </si>
  <si>
    <t>No</t>
  </si>
  <si>
    <t>Yes</t>
  </si>
  <si>
    <t>All of the above</t>
  </si>
  <si>
    <t>Convenience  (No need to carry cash)</t>
  </si>
  <si>
    <t>Government Promotion/Initiatives</t>
  </si>
  <si>
    <t>Merchant/Shopkeeper Demand (Acceptance everywhere)</t>
  </si>
  <si>
    <t>Speed (Instant payment settlement)</t>
  </si>
  <si>
    <t>Uses_UPI</t>
  </si>
  <si>
    <t>(All)</t>
  </si>
  <si>
    <t>Lack of Digital Literacy (Don't know how to use it)</t>
  </si>
  <si>
    <t>Poor Internet Connectivity (Network issues)</t>
  </si>
  <si>
    <t>Preference (Prefer to use cash/other methods)</t>
  </si>
  <si>
    <t>Security/Fraud Concerns</t>
  </si>
  <si>
    <t>Column Labels</t>
  </si>
  <si>
    <t>Age Group</t>
  </si>
  <si>
    <t>18-25</t>
  </si>
  <si>
    <t>26-40</t>
  </si>
  <si>
    <t>Above 40</t>
  </si>
  <si>
    <t>Below 18</t>
  </si>
  <si>
    <t>Main Purpose</t>
  </si>
  <si>
    <t>KPI's</t>
  </si>
  <si>
    <t>Total Respondents</t>
  </si>
  <si>
    <t>UPI Users %</t>
  </si>
  <si>
    <t>Most Frequent Usage (Average Use per Week)</t>
  </si>
  <si>
    <t>4.3/7</t>
  </si>
  <si>
    <t>Finding UPI Secure %</t>
  </si>
  <si>
    <t>Face Issues %</t>
  </si>
  <si>
    <t>Respondent_ID</t>
  </si>
  <si>
    <t>Timestamp</t>
  </si>
  <si>
    <t>Name</t>
  </si>
  <si>
    <t>Email</t>
  </si>
  <si>
    <t>Age_Group</t>
  </si>
  <si>
    <t>Primary_App</t>
  </si>
  <si>
    <t>Freq_per_week</t>
  </si>
  <si>
    <t>Freq_Clean</t>
  </si>
  <si>
    <t>Purpose_Main</t>
  </si>
  <si>
    <t>Issues_Flag</t>
  </si>
  <si>
    <t>Perceive_Secure</t>
  </si>
  <si>
    <t>Perceive_Benefit</t>
  </si>
  <si>
    <t>Primary_Reasons</t>
  </si>
  <si>
    <t>NonUser_Reason</t>
  </si>
  <si>
    <t>Extra_features</t>
  </si>
  <si>
    <t xml:space="preserve">Pradnya Ughade </t>
  </si>
  <si>
    <t>N A</t>
  </si>
  <si>
    <t>Nothing</t>
  </si>
  <si>
    <t xml:space="preserve">Rehan Khan </t>
  </si>
  <si>
    <t>khan2233rehan@gmail.com</t>
  </si>
  <si>
    <t>sonali</t>
  </si>
  <si>
    <t>sonalimakwana02@gmail.com</t>
  </si>
  <si>
    <t>Tap-to-Pay via NFC (Offline Mode)
Enable UPI Lite + NFC — users can just tap phones together for instant offline payments (ideal for poor internet zones).</t>
  </si>
  <si>
    <t>Sujal kamble</t>
  </si>
  <si>
    <t>Pratik Khaire</t>
  </si>
  <si>
    <t>pratikdk09@gmail.com</t>
  </si>
  <si>
    <t>Soham Morye</t>
  </si>
  <si>
    <t>moryesoham4@gmail.com</t>
  </si>
  <si>
    <t>Grishma patil</t>
  </si>
  <si>
    <t>Grishmapatil176@gmail.com</t>
  </si>
  <si>
    <t xml:space="preserve">Sumant </t>
  </si>
  <si>
    <t>ssumantsharma17@gmail.com</t>
  </si>
  <si>
    <t>Yup, although it is good but something it just doesn't work when mostly needed. So, I would say add something like wallet for offline transactions</t>
  </si>
  <si>
    <t>Krish Pajne</t>
  </si>
  <si>
    <t>krishpajne08@gmail.com</t>
  </si>
  <si>
    <t>To save money daily. Like a wallet which will auto pay certain amount daily.</t>
  </si>
  <si>
    <t>Saniya gautam jadhav</t>
  </si>
  <si>
    <t>Ssaniyajadhav03@gmail.com</t>
  </si>
  <si>
    <t xml:space="preserve">Vaibhavi patil </t>
  </si>
  <si>
    <t>vaibhaviipatil1903@gmail.com</t>
  </si>
  <si>
    <t xml:space="preserve">Offline payment for poor connection </t>
  </si>
  <si>
    <t xml:space="preserve">Archa </t>
  </si>
  <si>
    <t>archanair632@gmail.com</t>
  </si>
  <si>
    <t xml:space="preserve">No network payment </t>
  </si>
  <si>
    <t>Urvi Morye</t>
  </si>
  <si>
    <t>urvimorye2610@gmail.com</t>
  </si>
  <si>
    <t xml:space="preserve">Gauri Hiraman Dhotre </t>
  </si>
  <si>
    <t>sandhya1dhotre@gmail.com</t>
  </si>
  <si>
    <t xml:space="preserve">Khushal arun satve </t>
  </si>
  <si>
    <t>khushalsatve@gmail.com</t>
  </si>
  <si>
    <t xml:space="preserve">Binod </t>
  </si>
  <si>
    <t>atharvakhadye783@gmail.com</t>
  </si>
  <si>
    <t>khushi mishra</t>
  </si>
  <si>
    <t>khushimishra221503@gmail.com</t>
  </si>
  <si>
    <t>Prabha Ughdade</t>
  </si>
  <si>
    <t xml:space="preserve">Shreyas </t>
  </si>
  <si>
    <t>Shreyaspalav@12gmail.com</t>
  </si>
  <si>
    <t xml:space="preserve">Khan Owais </t>
  </si>
  <si>
    <t>ok9015064@gmail.com</t>
  </si>
  <si>
    <t>A K</t>
  </si>
  <si>
    <t>Ak2052590@gmail.com</t>
  </si>
  <si>
    <t>Atharva</t>
  </si>
  <si>
    <t xml:space="preserve">Pranav kale </t>
  </si>
  <si>
    <t>pranavkale116@gmail.com</t>
  </si>
  <si>
    <t xml:space="preserve">Cashback </t>
  </si>
  <si>
    <t>Ramesh laude</t>
  </si>
  <si>
    <t>opnoobde@gmail.com</t>
  </si>
  <si>
    <t xml:space="preserve">Munir khan </t>
  </si>
  <si>
    <t>munirkhan683227@gmail.com</t>
  </si>
  <si>
    <t xml:space="preserve">Mukund Mandaviya </t>
  </si>
  <si>
    <t>Ambernath @gmail.com</t>
  </si>
  <si>
    <t xml:space="preserve">Aditi Singh </t>
  </si>
  <si>
    <t>aditisingh30jan2007@gmail.com</t>
  </si>
  <si>
    <t>Pritam</t>
  </si>
  <si>
    <t>pritamshaw451@gmail.com</t>
  </si>
  <si>
    <t>History records</t>
  </si>
  <si>
    <t xml:space="preserve">Rajik </t>
  </si>
  <si>
    <t>Raziksayyad2@gmail.com</t>
  </si>
  <si>
    <t xml:space="preserve">UPI should Reward us for daily payment </t>
  </si>
  <si>
    <t xml:space="preserve">Priyal </t>
  </si>
  <si>
    <t>priyal.2402523201@vcet.edu.in</t>
  </si>
  <si>
    <t xml:space="preserve">Shravani Ganesh Choudhari </t>
  </si>
  <si>
    <t>shravaniganeshchoudhari@gmail.com</t>
  </si>
  <si>
    <t xml:space="preserve">Hardh shah </t>
  </si>
  <si>
    <t>hardhshah1@gmail.com</t>
  </si>
  <si>
    <t xml:space="preserve">Priyanka Dharmendra Yadav </t>
  </si>
  <si>
    <t>priyanka043252@gmail.com</t>
  </si>
  <si>
    <t xml:space="preserve">Hasan Sayyed </t>
  </si>
  <si>
    <t>hasansayyed066@gmail.com</t>
  </si>
  <si>
    <t xml:space="preserve">Trupti </t>
  </si>
  <si>
    <t>kambletrupti424@gmail.com</t>
  </si>
  <si>
    <t xml:space="preserve">Payment without internet </t>
  </si>
  <si>
    <t xml:space="preserve">Astha </t>
  </si>
  <si>
    <t>palastha93@gmail.com</t>
  </si>
  <si>
    <t>Each transaction should give cashback above 100</t>
  </si>
  <si>
    <t xml:space="preserve">Faisal Sayyed </t>
  </si>
  <si>
    <t>faisalsayyed808@gmail.com</t>
  </si>
  <si>
    <t>Kshitij Warang</t>
  </si>
  <si>
    <t>warangkshitij180@gmail.com</t>
  </si>
  <si>
    <t>Khushi pandey</t>
  </si>
  <si>
    <t>Kishipandey1140@gamil.com</t>
  </si>
  <si>
    <t xml:space="preserve">Vedant Madiwal </t>
  </si>
  <si>
    <t>vedantmadiwal@gmail.com</t>
  </si>
  <si>
    <t xml:space="preserve">Security features and offline transaction </t>
  </si>
  <si>
    <t xml:space="preserve">Pruthvi kamble </t>
  </si>
  <si>
    <t>pruthvikamble576@gmail.com</t>
  </si>
  <si>
    <t xml:space="preserve">Develope a strong system as more secure as possible </t>
  </si>
  <si>
    <t xml:space="preserve">Moin Shaikh </t>
  </si>
  <si>
    <t>shaikhrozan90@gmail.com</t>
  </si>
  <si>
    <t xml:space="preserve">Per payment cashback </t>
  </si>
  <si>
    <t xml:space="preserve">Aditya Ughade </t>
  </si>
  <si>
    <t>Unr 2@gmail.com</t>
  </si>
  <si>
    <t xml:space="preserve">Riya Salunkhe </t>
  </si>
  <si>
    <t>salunkheriya76@gmail.com</t>
  </si>
  <si>
    <t>Investment &amp; savings integration</t>
  </si>
  <si>
    <t xml:space="preserve">Sumedh Sanjay Nilakhe </t>
  </si>
  <si>
    <t>sumedhnilakhe832@gmail.com</t>
  </si>
  <si>
    <t xml:space="preserve">Ashish ganpat Fulaware </t>
  </si>
  <si>
    <t>ashishfulaware123456@gmail.com</t>
  </si>
  <si>
    <t>Its already good</t>
  </si>
  <si>
    <t>Abhay ramadurg</t>
  </si>
  <si>
    <t xml:space="preserve">abhayramadurg30@gmail.com </t>
  </si>
  <si>
    <t>Instant payments without having to put the pin</t>
  </si>
  <si>
    <t xml:space="preserve">Muzaffer khan </t>
  </si>
  <si>
    <t>muzafferkhan667@gmail.com</t>
  </si>
  <si>
    <t xml:space="preserve">Md Sohail Shaikh </t>
  </si>
  <si>
    <t>sohailshaikh1942@gmail.com</t>
  </si>
  <si>
    <t xml:space="preserve">Deepali Tyagi </t>
  </si>
  <si>
    <t>tyagideepali628@gmail.com</t>
  </si>
  <si>
    <t>Certain amount transaction/transfer availability in offline mode</t>
  </si>
  <si>
    <t>Rifat Khan</t>
  </si>
  <si>
    <t>rehan2233khann@gmai.com</t>
  </si>
  <si>
    <t xml:space="preserve">Yashwant </t>
  </si>
  <si>
    <t xml:space="preserve"> yashwantmhad@gmail.com</t>
  </si>
  <si>
    <t xml:space="preserve">Offline Payment </t>
  </si>
  <si>
    <t xml:space="preserve">Anil ughade </t>
  </si>
  <si>
    <t xml:space="preserve">Omkar </t>
  </si>
  <si>
    <t>omkar2102j@gmail.com</t>
  </si>
  <si>
    <t>Neha patil</t>
  </si>
  <si>
    <t>nehayogeshpatil@gmail.com</t>
  </si>
  <si>
    <t xml:space="preserve">Sohil shakil shaikh </t>
  </si>
  <si>
    <t>shaikh150698@gmail.com</t>
  </si>
  <si>
    <t xml:space="preserve">Ashish wadhwa </t>
  </si>
  <si>
    <t>wadhwaaashish666@gmail.com</t>
  </si>
  <si>
    <t xml:space="preserve">Priyanshu Tiwari </t>
  </si>
  <si>
    <t>priyanshut2005@gmail.com</t>
  </si>
  <si>
    <t>UPI is safe and so easy to use..  i will suggest that every one should use UPI .</t>
  </si>
  <si>
    <t xml:space="preserve">Sufiyan shaikh </t>
  </si>
  <si>
    <t>nazirshaikh4568@gmail.com</t>
  </si>
  <si>
    <t xml:space="preserve">Cashback on every transaction </t>
  </si>
  <si>
    <t xml:space="preserve">Tirth </t>
  </si>
  <si>
    <t>tirth23nrl@gmail.com</t>
  </si>
  <si>
    <t xml:space="preserve">Fampay </t>
  </si>
  <si>
    <t>A (Freq_Label)</t>
  </si>
  <si>
    <t>B (Score)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</si>
</sst>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19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</font>
    <font>
      <u/>
      <sz val="11"/>
      <color theme="10"/>
      <name val="Times New Roman"/>
      <family val="1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sz val="28"/>
      <color theme="1"/>
      <name val="Times New Roman"/>
      <family val="1"/>
    </font>
    <font>
      <b/>
      <sz val="24"/>
      <color rgb="FF003366"/>
      <name val="Segoe UI Semibold"/>
      <family val="2"/>
    </font>
    <font>
      <b/>
      <sz val="12"/>
      <color theme="1"/>
      <name val="Times New Roman"/>
      <family val="1"/>
    </font>
    <font>
      <b/>
      <sz val="16"/>
      <color theme="1"/>
      <name val="Calibri"/>
      <family val="1"/>
      <scheme val="minor"/>
    </font>
    <font>
      <b/>
      <sz val="14"/>
      <color rgb="FF002060"/>
      <name val="Times New Roman"/>
      <family val="1"/>
    </font>
    <font>
      <b/>
      <sz val="24"/>
      <color rgb="FFFF0000"/>
      <name val="Arial Black"/>
      <family val="2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9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22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7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9" fontId="0" fillId="5" borderId="1" xfId="0" applyNumberFormat="1" applyFill="1" applyBorder="1" applyAlignment="1">
      <alignment horizontal="center"/>
    </xf>
    <xf numFmtId="0" fontId="0" fillId="0" borderId="0" xfId="0" applyFill="1"/>
    <xf numFmtId="0" fontId="14" fillId="6" borderId="0" xfId="0" applyFont="1" applyFill="1" applyAlignment="1">
      <alignment wrapText="1"/>
    </xf>
    <xf numFmtId="0" fontId="13" fillId="6" borderId="0" xfId="0" applyFont="1" applyFill="1" applyAlignment="1">
      <alignment vertical="top"/>
    </xf>
    <xf numFmtId="0" fontId="0" fillId="6" borderId="0" xfId="0" applyFill="1"/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8" fillId="9" borderId="0" xfId="0" applyFont="1" applyFill="1" applyAlignment="1">
      <alignment horizontal="center"/>
    </xf>
    <xf numFmtId="0" fontId="0" fillId="9" borderId="0" xfId="0" applyFont="1" applyFill="1" applyAlignment="1">
      <alignment horizontal="center"/>
    </xf>
    <xf numFmtId="0" fontId="16" fillId="8" borderId="0" xfId="0" applyFont="1" applyFill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15" fillId="7" borderId="0" xfId="0" applyFont="1" applyFill="1" applyAlignment="1">
      <alignment horizontal="right" vertical="center"/>
    </xf>
    <xf numFmtId="0" fontId="17" fillId="9" borderId="0" xfId="0" applyFont="1" applyFill="1" applyAlignment="1">
      <alignment horizontal="left" vertical="top" wrapText="1"/>
    </xf>
    <xf numFmtId="0" fontId="11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0" fillId="4" borderId="1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4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64" formatCode="m/d/yyyy\ h:mm:ss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64" formatCode="m/d/yyyy\ h:mm:ss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indexed="64"/>
          <bgColor theme="9" tint="-0.49998474074526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27" formatCode="m/d/yyyy\ h:mm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2" defaultPivotStyle="PivotStyleLight16">
    <tableStyle name="Form responses 1-style" pivot="0" count="4" xr9:uid="{726BD73A-55A0-44B1-A115-16B461FDB8FD}">
      <tableStyleElement type="wholeTable" size="0" dxfId="45"/>
      <tableStyleElement type="headerRow" dxfId="44"/>
      <tableStyleElement type="firstRowStripe" dxfId="43"/>
      <tableStyleElement type="secondRowStripe" dxfId="42"/>
    </tableStyle>
  </tableStyles>
  <colors>
    <mruColors>
      <color rgb="FF003366"/>
      <color rgb="FF0E6251"/>
      <color rgb="FFE8F8F5"/>
      <color rgb="FFF9F5EC"/>
      <color rgb="FFF5F5F5"/>
      <color rgb="FF00796B"/>
      <color rgb="FFDDEBF7"/>
      <color rgb="FF66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[UPI_Dashboard_FinalRepo.xlsx]reason_notUseUPIvsAgeGroup!PivotTable14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tx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en-US" sz="1300" b="1" i="0" u="none" strike="noStrike" baseline="0">
                <a:solidFill>
                  <a:schemeClr val="tx1"/>
                </a:solidFill>
                <a:latin typeface="Arial Black" panose="020B0A04020102020204" pitchFamily="34" charset="0"/>
              </a:rPr>
              <a:t>Reason for Not Using UPI vs Age Group</a:t>
            </a:r>
            <a:endParaRPr lang="en-US" sz="1300">
              <a:solidFill>
                <a:schemeClr val="tx1"/>
              </a:solidFill>
              <a:latin typeface="Arial Black" panose="020B0A04020102020204" pitchFamily="34" charset="0"/>
            </a:endParaRPr>
          </a:p>
        </c:rich>
      </c:tx>
      <c:layout>
        <c:manualLayout>
          <c:xMode val="edge"/>
          <c:yMode val="edge"/>
          <c:x val="0.26967412781534905"/>
          <c:y val="7.92787689162347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baseline="0">
              <a:solidFill>
                <a:schemeClr val="tx1"/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/>
              </a:gs>
              <a:gs pos="90000">
                <a:schemeClr val="accent1">
                  <a:shade val="100000"/>
                </a:schemeClr>
              </a:gs>
              <a:gs pos="100000">
                <a:schemeClr val="accent1">
                  <a:shade val="85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/>
              </a:gs>
              <a:gs pos="90000">
                <a:schemeClr val="accent1">
                  <a:shade val="100000"/>
                </a:schemeClr>
              </a:gs>
              <a:gs pos="100000">
                <a:schemeClr val="accent1">
                  <a:shade val="85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/>
              </a:gs>
              <a:gs pos="90000">
                <a:schemeClr val="accent1">
                  <a:shade val="100000"/>
                </a:schemeClr>
              </a:gs>
              <a:gs pos="100000">
                <a:schemeClr val="accent1">
                  <a:shade val="85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/>
              </a:gs>
              <a:gs pos="90000">
                <a:schemeClr val="accent1">
                  <a:shade val="100000"/>
                </a:schemeClr>
              </a:gs>
              <a:gs pos="100000">
                <a:schemeClr val="accent1">
                  <a:shade val="85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5664060048690057E-2"/>
          <c:y val="0.30370770661633545"/>
          <c:w val="0.68494194343639792"/>
          <c:h val="0.2344072230712294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reason_notUseUPIvsAgeGroup!$B$3:$B$4</c:f>
              <c:strCache>
                <c:ptCount val="1"/>
                <c:pt idx="0">
                  <c:v>18-25</c:v>
                </c:pt>
              </c:strCache>
            </c:strRef>
          </c:tx>
          <c:spPr>
            <a:gradFill rotWithShape="1">
              <a:gsLst>
                <a:gs pos="0">
                  <a:schemeClr val="accent1"/>
                </a:gs>
                <a:gs pos="90000">
                  <a:schemeClr val="accent1">
                    <a:shade val="100000"/>
                  </a:schemeClr>
                </a:gs>
                <a:gs pos="100000">
                  <a:schemeClr val="accent1">
                    <a:shade val="85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38100" dist="254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brightRoom" dir="t"/>
            </a:scene3d>
            <a:sp3d extrusionH="12700" contourW="25400" prstMaterial="flat">
              <a:bevelT w="63500" h="152400" prst="angle"/>
              <a:contourClr>
                <a:scrgbClr r="0" g="0" b="0">
                  <a:shade val="30000"/>
                </a:scrgbClr>
              </a:contourClr>
            </a:sp3d>
          </c:spPr>
          <c:invertIfNegative val="0"/>
          <c:cat>
            <c:strRef>
              <c:f>reason_notUseUPIvsAgeGroup!$A$5:$A$9</c:f>
              <c:strCache>
                <c:ptCount val="4"/>
                <c:pt idx="0">
                  <c:v>Lack of Digital Literacy (Don't know how to use it)</c:v>
                </c:pt>
                <c:pt idx="1">
                  <c:v>Poor Internet Connectivity (Network issues)</c:v>
                </c:pt>
                <c:pt idx="2">
                  <c:v>Preference (Prefer to use cash/other methods)</c:v>
                </c:pt>
                <c:pt idx="3">
                  <c:v>Security/Fraud Concerns</c:v>
                </c:pt>
              </c:strCache>
            </c:strRef>
          </c:cat>
          <c:val>
            <c:numRef>
              <c:f>reason_notUseUPIvsAgeGroup!$B$5:$B$9</c:f>
              <c:numCache>
                <c:formatCode>General</c:formatCode>
                <c:ptCount val="4"/>
                <c:pt idx="1">
                  <c:v>19</c:v>
                </c:pt>
                <c:pt idx="2">
                  <c:v>12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C1-4AD1-9497-C772E8619A5E}"/>
            </c:ext>
          </c:extLst>
        </c:ser>
        <c:ser>
          <c:idx val="1"/>
          <c:order val="1"/>
          <c:tx>
            <c:strRef>
              <c:f>reason_notUseUPIvsAgeGroup!$C$3:$C$4</c:f>
              <c:strCache>
                <c:ptCount val="1"/>
                <c:pt idx="0">
                  <c:v>26-40</c:v>
                </c:pt>
              </c:strCache>
            </c:strRef>
          </c:tx>
          <c:spPr>
            <a:gradFill rotWithShape="1">
              <a:gsLst>
                <a:gs pos="0">
                  <a:schemeClr val="accent2"/>
                </a:gs>
                <a:gs pos="90000">
                  <a:schemeClr val="accent2">
                    <a:shade val="100000"/>
                  </a:schemeClr>
                </a:gs>
                <a:gs pos="100000">
                  <a:schemeClr val="accent2">
                    <a:shade val="85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38100" dist="254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brightRoom" dir="t"/>
            </a:scene3d>
            <a:sp3d extrusionH="12700" contourW="25400" prstMaterial="flat">
              <a:bevelT w="63500" h="152400" prst="angle"/>
              <a:contourClr>
                <a:scrgbClr r="0" g="0" b="0">
                  <a:shade val="30000"/>
                </a:scrgbClr>
              </a:contourClr>
            </a:sp3d>
          </c:spPr>
          <c:invertIfNegative val="0"/>
          <c:cat>
            <c:strRef>
              <c:f>reason_notUseUPIvsAgeGroup!$A$5:$A$9</c:f>
              <c:strCache>
                <c:ptCount val="4"/>
                <c:pt idx="0">
                  <c:v>Lack of Digital Literacy (Don't know how to use it)</c:v>
                </c:pt>
                <c:pt idx="1">
                  <c:v>Poor Internet Connectivity (Network issues)</c:v>
                </c:pt>
                <c:pt idx="2">
                  <c:v>Preference (Prefer to use cash/other methods)</c:v>
                </c:pt>
                <c:pt idx="3">
                  <c:v>Security/Fraud Concerns</c:v>
                </c:pt>
              </c:strCache>
            </c:strRef>
          </c:cat>
          <c:val>
            <c:numRef>
              <c:f>reason_notUseUPIvsAgeGroup!$C$5:$C$9</c:f>
              <c:numCache>
                <c:formatCode>General</c:formatCode>
                <c:ptCount val="4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C1-4AD1-9497-C772E8619A5E}"/>
            </c:ext>
          </c:extLst>
        </c:ser>
        <c:ser>
          <c:idx val="2"/>
          <c:order val="2"/>
          <c:tx>
            <c:strRef>
              <c:f>reason_notUseUPIvsAgeGroup!$D$3:$D$4</c:f>
              <c:strCache>
                <c:ptCount val="1"/>
                <c:pt idx="0">
                  <c:v>Above 40</c:v>
                </c:pt>
              </c:strCache>
            </c:strRef>
          </c:tx>
          <c:spPr>
            <a:gradFill rotWithShape="1">
              <a:gsLst>
                <a:gs pos="0">
                  <a:schemeClr val="accent3"/>
                </a:gs>
                <a:gs pos="90000">
                  <a:schemeClr val="accent3">
                    <a:shade val="100000"/>
                  </a:schemeClr>
                </a:gs>
                <a:gs pos="100000">
                  <a:schemeClr val="accent3">
                    <a:shade val="85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38100" dist="254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brightRoom" dir="t"/>
            </a:scene3d>
            <a:sp3d extrusionH="12700" contourW="25400" prstMaterial="flat">
              <a:bevelT w="63500" h="152400" prst="angle"/>
              <a:contourClr>
                <a:scrgbClr r="0" g="0" b="0">
                  <a:shade val="30000"/>
                </a:scrgbClr>
              </a:contourClr>
            </a:sp3d>
          </c:spPr>
          <c:invertIfNegative val="0"/>
          <c:cat>
            <c:strRef>
              <c:f>reason_notUseUPIvsAgeGroup!$A$5:$A$9</c:f>
              <c:strCache>
                <c:ptCount val="4"/>
                <c:pt idx="0">
                  <c:v>Lack of Digital Literacy (Don't know how to use it)</c:v>
                </c:pt>
                <c:pt idx="1">
                  <c:v>Poor Internet Connectivity (Network issues)</c:v>
                </c:pt>
                <c:pt idx="2">
                  <c:v>Preference (Prefer to use cash/other methods)</c:v>
                </c:pt>
                <c:pt idx="3">
                  <c:v>Security/Fraud Concerns</c:v>
                </c:pt>
              </c:strCache>
            </c:strRef>
          </c:cat>
          <c:val>
            <c:numRef>
              <c:f>reason_notUseUPIvsAgeGroup!$D$5:$D$9</c:f>
              <c:numCache>
                <c:formatCode>General</c:formatCode>
                <c:ptCount val="4"/>
                <c:pt idx="1">
                  <c:v>3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C1-4AD1-9497-C772E8619A5E}"/>
            </c:ext>
          </c:extLst>
        </c:ser>
        <c:ser>
          <c:idx val="3"/>
          <c:order val="3"/>
          <c:tx>
            <c:strRef>
              <c:f>reason_notUseUPIvsAgeGroup!$E$3:$E$4</c:f>
              <c:strCache>
                <c:ptCount val="1"/>
                <c:pt idx="0">
                  <c:v>Below 18</c:v>
                </c:pt>
              </c:strCache>
            </c:strRef>
          </c:tx>
          <c:spPr>
            <a:gradFill rotWithShape="1">
              <a:gsLst>
                <a:gs pos="0">
                  <a:schemeClr val="accent4"/>
                </a:gs>
                <a:gs pos="90000">
                  <a:schemeClr val="accent4">
                    <a:shade val="100000"/>
                  </a:schemeClr>
                </a:gs>
                <a:gs pos="100000">
                  <a:schemeClr val="accent4">
                    <a:shade val="85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38100" dist="254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brightRoom" dir="t"/>
            </a:scene3d>
            <a:sp3d extrusionH="12700" contourW="25400" prstMaterial="flat">
              <a:bevelT w="63500" h="152400" prst="angle"/>
              <a:contourClr>
                <a:scrgbClr r="0" g="0" b="0">
                  <a:shade val="30000"/>
                </a:scrgbClr>
              </a:contourClr>
            </a:sp3d>
          </c:spPr>
          <c:invertIfNegative val="0"/>
          <c:cat>
            <c:strRef>
              <c:f>reason_notUseUPIvsAgeGroup!$A$5:$A$9</c:f>
              <c:strCache>
                <c:ptCount val="4"/>
                <c:pt idx="0">
                  <c:v>Lack of Digital Literacy (Don't know how to use it)</c:v>
                </c:pt>
                <c:pt idx="1">
                  <c:v>Poor Internet Connectivity (Network issues)</c:v>
                </c:pt>
                <c:pt idx="2">
                  <c:v>Preference (Prefer to use cash/other methods)</c:v>
                </c:pt>
                <c:pt idx="3">
                  <c:v>Security/Fraud Concerns</c:v>
                </c:pt>
              </c:strCache>
            </c:strRef>
          </c:cat>
          <c:val>
            <c:numRef>
              <c:f>reason_notUseUPIvsAgeGroup!$E$5:$E$9</c:f>
              <c:numCache>
                <c:formatCode>General</c:formatCode>
                <c:ptCount val="4"/>
                <c:pt idx="1">
                  <c:v>2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7C1-4AD1-9497-C772E8619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96640832"/>
        <c:axId val="2096642080"/>
      </c:barChart>
      <c:catAx>
        <c:axId val="2096640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642080"/>
        <c:crosses val="autoZero"/>
        <c:auto val="1"/>
        <c:lblAlgn val="ctr"/>
        <c:lblOffset val="100"/>
        <c:noMultiLvlLbl val="0"/>
      </c:catAx>
      <c:valAx>
        <c:axId val="209664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640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212116729209427"/>
          <c:y val="0.36846746306752659"/>
          <c:w val="0.16969701018778577"/>
          <c:h val="0.452324541328409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[UPI_Dashboard_FinalRepo.xlsx]PurpUse_FreqUse!PivotTable13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solidFill>
                  <a:schemeClr val="tx1"/>
                </a:solidFill>
                <a:latin typeface="Arial Black" panose="020B0A04020102020204" pitchFamily="34" charset="0"/>
              </a:rPr>
              <a:t>Purpose of Use vs Frequency of Use</a:t>
            </a:r>
            <a:endParaRPr lang="en-US">
              <a:solidFill>
                <a:schemeClr val="tx1"/>
              </a:solidFill>
              <a:latin typeface="Arial Black" panose="020B0A04020102020204" pitchFamily="34" charset="0"/>
            </a:endParaRPr>
          </a:p>
        </c:rich>
      </c:tx>
      <c:layout>
        <c:manualLayout>
          <c:xMode val="edge"/>
          <c:yMode val="edge"/>
          <c:x val="0.26417361709154807"/>
          <c:y val="4.74067313547716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6"/>
              </a:gs>
              <a:gs pos="90000">
                <a:schemeClr val="accent6">
                  <a:shade val="100000"/>
                </a:schemeClr>
              </a:gs>
              <a:gs pos="100000">
                <a:schemeClr val="accent6">
                  <a:shade val="85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6"/>
              </a:gs>
              <a:gs pos="90000">
                <a:schemeClr val="accent6">
                  <a:shade val="100000"/>
                </a:schemeClr>
              </a:gs>
              <a:gs pos="100000">
                <a:schemeClr val="accent6">
                  <a:shade val="85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6"/>
              </a:gs>
              <a:gs pos="90000">
                <a:schemeClr val="accent6">
                  <a:shade val="100000"/>
                </a:schemeClr>
              </a:gs>
              <a:gs pos="100000">
                <a:schemeClr val="accent6">
                  <a:shade val="85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PurpUse_FreqUse!$B$3:$B$4</c:f>
              <c:strCache>
                <c:ptCount val="1"/>
                <c:pt idx="0">
                  <c:v>1-2 Times</c:v>
                </c:pt>
              </c:strCache>
            </c:strRef>
          </c:tx>
          <c:spPr>
            <a:gradFill rotWithShape="1">
              <a:gsLst>
                <a:gs pos="0">
                  <a:schemeClr val="accent6"/>
                </a:gs>
                <a:gs pos="90000">
                  <a:schemeClr val="accent6">
                    <a:shade val="100000"/>
                  </a:schemeClr>
                </a:gs>
                <a:gs pos="100000">
                  <a:schemeClr val="accent6">
                    <a:shade val="85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38100" dist="254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brightRoom" dir="t"/>
            </a:scene3d>
            <a:sp3d extrusionH="12700" contourW="25400" prstMaterial="flat">
              <a:bevelT w="63500" h="152400" prst="angle"/>
              <a:contourClr>
                <a:scrgbClr r="0" g="0" b="0">
                  <a:shade val="30000"/>
                </a:scrgb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PurpUse_FreqUse!$A$5:$A$9</c:f>
              <c:strCache>
                <c:ptCount val="4"/>
                <c:pt idx="0">
                  <c:v>Bill Payments</c:v>
                </c:pt>
                <c:pt idx="1">
                  <c:v>Local grocery/Kirana Shop</c:v>
                </c:pt>
                <c:pt idx="2">
                  <c:v>Money Transfer</c:v>
                </c:pt>
                <c:pt idx="3">
                  <c:v>Online Shopping</c:v>
                </c:pt>
              </c:strCache>
            </c:strRef>
          </c:cat>
          <c:val>
            <c:numRef>
              <c:f>PurpUse_FreqUse!$B$5:$B$9</c:f>
              <c:numCache>
                <c:formatCode>General</c:formatCode>
                <c:ptCount val="4"/>
                <c:pt idx="0">
                  <c:v>3</c:v>
                </c:pt>
                <c:pt idx="1">
                  <c:v>5</c:v>
                </c:pt>
                <c:pt idx="2">
                  <c:v>3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68-4B9E-AA29-B7F17F477E1F}"/>
            </c:ext>
          </c:extLst>
        </c:ser>
        <c:ser>
          <c:idx val="1"/>
          <c:order val="1"/>
          <c:tx>
            <c:strRef>
              <c:f>PurpUse_FreqUse!$C$3:$C$4</c:f>
              <c:strCache>
                <c:ptCount val="1"/>
                <c:pt idx="0">
                  <c:v>3-5 Times</c:v>
                </c:pt>
              </c:strCache>
            </c:strRef>
          </c:tx>
          <c:spPr>
            <a:gradFill rotWithShape="1">
              <a:gsLst>
                <a:gs pos="0">
                  <a:schemeClr val="accent5"/>
                </a:gs>
                <a:gs pos="90000">
                  <a:schemeClr val="accent5">
                    <a:shade val="100000"/>
                  </a:schemeClr>
                </a:gs>
                <a:gs pos="100000">
                  <a:schemeClr val="accent5">
                    <a:shade val="85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38100" dist="254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brightRoom" dir="t"/>
            </a:scene3d>
            <a:sp3d extrusionH="12700" contourW="25400" prstMaterial="flat">
              <a:bevelT w="63500" h="152400" prst="angle"/>
              <a:contourClr>
                <a:scrgbClr r="0" g="0" b="0">
                  <a:shade val="30000"/>
                </a:scrgb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PurpUse_FreqUse!$A$5:$A$9</c:f>
              <c:strCache>
                <c:ptCount val="4"/>
                <c:pt idx="0">
                  <c:v>Bill Payments</c:v>
                </c:pt>
                <c:pt idx="1">
                  <c:v>Local grocery/Kirana Shop</c:v>
                </c:pt>
                <c:pt idx="2">
                  <c:v>Money Transfer</c:v>
                </c:pt>
                <c:pt idx="3">
                  <c:v>Online Shopping</c:v>
                </c:pt>
              </c:strCache>
            </c:strRef>
          </c:cat>
          <c:val>
            <c:numRef>
              <c:f>PurpUse_FreqUse!$C$5:$C$9</c:f>
              <c:numCache>
                <c:formatCode>General</c:formatCode>
                <c:ptCount val="4"/>
                <c:pt idx="0">
                  <c:v>6</c:v>
                </c:pt>
                <c:pt idx="1">
                  <c:v>4</c:v>
                </c:pt>
                <c:pt idx="2">
                  <c:v>2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68-4B9E-AA29-B7F17F477E1F}"/>
            </c:ext>
          </c:extLst>
        </c:ser>
        <c:ser>
          <c:idx val="2"/>
          <c:order val="2"/>
          <c:tx>
            <c:strRef>
              <c:f>PurpUse_FreqUse!$D$3:$D$4</c:f>
              <c:strCache>
                <c:ptCount val="1"/>
                <c:pt idx="0">
                  <c:v>Daily</c:v>
                </c:pt>
              </c:strCache>
            </c:strRef>
          </c:tx>
          <c:spPr>
            <a:gradFill rotWithShape="1">
              <a:gsLst>
                <a:gs pos="0">
                  <a:schemeClr val="accent4"/>
                </a:gs>
                <a:gs pos="90000">
                  <a:schemeClr val="accent4">
                    <a:shade val="100000"/>
                  </a:schemeClr>
                </a:gs>
                <a:gs pos="100000">
                  <a:schemeClr val="accent4">
                    <a:shade val="85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38100" dist="254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brightRoom" dir="t"/>
            </a:scene3d>
            <a:sp3d extrusionH="12700" contourW="25400" prstMaterial="flat">
              <a:bevelT w="63500" h="152400" prst="angle"/>
              <a:contourClr>
                <a:scrgbClr r="0" g="0" b="0">
                  <a:shade val="30000"/>
                </a:scrgb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PurpUse_FreqUse!$A$5:$A$9</c:f>
              <c:strCache>
                <c:ptCount val="4"/>
                <c:pt idx="0">
                  <c:v>Bill Payments</c:v>
                </c:pt>
                <c:pt idx="1">
                  <c:v>Local grocery/Kirana Shop</c:v>
                </c:pt>
                <c:pt idx="2">
                  <c:v>Money Transfer</c:v>
                </c:pt>
                <c:pt idx="3">
                  <c:v>Online Shopping</c:v>
                </c:pt>
              </c:strCache>
            </c:strRef>
          </c:cat>
          <c:val>
            <c:numRef>
              <c:f>PurpUse_FreqUse!$D$5:$D$9</c:f>
              <c:numCache>
                <c:formatCode>General</c:formatCode>
                <c:ptCount val="4"/>
                <c:pt idx="0">
                  <c:v>6</c:v>
                </c:pt>
                <c:pt idx="1">
                  <c:v>15</c:v>
                </c:pt>
                <c:pt idx="2">
                  <c:v>4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68-4B9E-AA29-B7F17F477E1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104937408"/>
        <c:axId val="2104935328"/>
      </c:barChart>
      <c:catAx>
        <c:axId val="2104937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935328"/>
        <c:crosses val="autoZero"/>
        <c:auto val="1"/>
        <c:lblAlgn val="ctr"/>
        <c:lblOffset val="100"/>
        <c:noMultiLvlLbl val="0"/>
      </c:catAx>
      <c:valAx>
        <c:axId val="2104935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937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[UPI_Dashboard_FinalRepo.xlsx]Secur__Satisfac!PivotTable12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cap="all" spc="12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chemeClr val="tx1"/>
                </a:solidFill>
                <a:latin typeface="Bodoni MT Black" panose="02070A03080606020203" pitchFamily="18" charset="0"/>
              </a:rPr>
              <a:t>Security Perception vs Issues Faced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layout>
        <c:manualLayout>
          <c:xMode val="edge"/>
          <c:yMode val="edge"/>
          <c:x val="0.30620091422908569"/>
          <c:y val="6.94317428438686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cap="all" spc="120" normalizeH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Secur__Satisfac!$B$3:$B$4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Secur__Satisfac!$A$5:$A$7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Secur__Satisfac!$B$5:$B$7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8C-4036-9DD2-A8493E87BCE7}"/>
            </c:ext>
          </c:extLst>
        </c:ser>
        <c:ser>
          <c:idx val="1"/>
          <c:order val="1"/>
          <c:tx>
            <c:strRef>
              <c:f>Secur__Satisfac!$C$3:$C$4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Secur__Satisfac!$A$5:$A$7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Secur__Satisfac!$C$5:$C$7</c:f>
              <c:numCache>
                <c:formatCode>General</c:formatCode>
                <c:ptCount val="2"/>
                <c:pt idx="0">
                  <c:v>45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8C-4036-9DD2-A8493E87BCE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944352080"/>
        <c:axId val="1944357072"/>
      </c:barChart>
      <c:catAx>
        <c:axId val="1944352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357072"/>
        <c:crosses val="autoZero"/>
        <c:auto val="1"/>
        <c:lblAlgn val="ctr"/>
        <c:lblOffset val="100"/>
        <c:noMultiLvlLbl val="0"/>
      </c:catAx>
      <c:valAx>
        <c:axId val="19443570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44352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[UPI_Dashboard_FinalRepo.xlsx]App_Age_segment!PivotTable11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  <a:latin typeface="Arial Black" panose="020B0A04020102020204" pitchFamily="34" charset="0"/>
              </a:rPr>
              <a:t>App vs Age Group </a:t>
            </a:r>
          </a:p>
        </c:rich>
      </c:tx>
      <c:layout>
        <c:manualLayout>
          <c:xMode val="edge"/>
          <c:yMode val="edge"/>
          <c:x val="0.37629550252169591"/>
          <c:y val="5.90939547349612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App_Age_segment!$B$3:$B$4</c:f>
              <c:strCache>
                <c:ptCount val="1"/>
                <c:pt idx="0">
                  <c:v>Fampay</c:v>
                </c:pt>
              </c:strCache>
            </c:strRef>
          </c:tx>
          <c:spPr>
            <a:noFill/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App_Age_segment!$A$5:$A$9</c:f>
              <c:strCache>
                <c:ptCount val="4"/>
                <c:pt idx="0">
                  <c:v>18-25</c:v>
                </c:pt>
                <c:pt idx="1">
                  <c:v>26-40</c:v>
                </c:pt>
                <c:pt idx="2">
                  <c:v>Above 40</c:v>
                </c:pt>
                <c:pt idx="3">
                  <c:v>Below 18</c:v>
                </c:pt>
              </c:strCache>
            </c:strRef>
          </c:cat>
          <c:val>
            <c:numRef>
              <c:f>App_Age_segment!$B$5:$B$9</c:f>
              <c:numCache>
                <c:formatCode>General</c:formatCode>
                <c:ptCount val="4"/>
                <c:pt idx="0">
                  <c:v>1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9E-4ABE-B47C-F1AA2AA1FBC2}"/>
            </c:ext>
          </c:extLst>
        </c:ser>
        <c:ser>
          <c:idx val="1"/>
          <c:order val="1"/>
          <c:tx>
            <c:strRef>
              <c:f>App_Age_segment!$C$3:$C$4</c:f>
              <c:strCache>
                <c:ptCount val="1"/>
                <c:pt idx="0">
                  <c:v>Google Pay</c:v>
                </c:pt>
              </c:strCache>
            </c:strRef>
          </c:tx>
          <c:spPr>
            <a:noFill/>
            <a:ln w="25400" cap="flat" cmpd="sng" algn="ctr">
              <a:solidFill>
                <a:schemeClr val="accent2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App_Age_segment!$A$5:$A$9</c:f>
              <c:strCache>
                <c:ptCount val="4"/>
                <c:pt idx="0">
                  <c:v>18-25</c:v>
                </c:pt>
                <c:pt idx="1">
                  <c:v>26-40</c:v>
                </c:pt>
                <c:pt idx="2">
                  <c:v>Above 40</c:v>
                </c:pt>
                <c:pt idx="3">
                  <c:v>Below 18</c:v>
                </c:pt>
              </c:strCache>
            </c:strRef>
          </c:cat>
          <c:val>
            <c:numRef>
              <c:f>App_Age_segment!$C$5:$C$9</c:f>
              <c:numCache>
                <c:formatCode>General</c:formatCode>
                <c:ptCount val="4"/>
                <c:pt idx="0">
                  <c:v>34</c:v>
                </c:pt>
                <c:pt idx="1">
                  <c:v>3</c:v>
                </c:pt>
                <c:pt idx="2">
                  <c:v>4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9E-4ABE-B47C-F1AA2AA1FBC2}"/>
            </c:ext>
          </c:extLst>
        </c:ser>
        <c:ser>
          <c:idx val="2"/>
          <c:order val="2"/>
          <c:tx>
            <c:strRef>
              <c:f>App_Age_segment!$D$3:$D$4</c:f>
              <c:strCache>
                <c:ptCount val="1"/>
                <c:pt idx="0">
                  <c:v>Paytm</c:v>
                </c:pt>
              </c:strCache>
            </c:strRef>
          </c:tx>
          <c:spPr>
            <a:noFill/>
            <a:ln w="25400" cap="flat" cmpd="sng" algn="ctr">
              <a:solidFill>
                <a:schemeClr val="accent3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App_Age_segment!$A$5:$A$9</c:f>
              <c:strCache>
                <c:ptCount val="4"/>
                <c:pt idx="0">
                  <c:v>18-25</c:v>
                </c:pt>
                <c:pt idx="1">
                  <c:v>26-40</c:v>
                </c:pt>
                <c:pt idx="2">
                  <c:v>Above 40</c:v>
                </c:pt>
                <c:pt idx="3">
                  <c:v>Below 18</c:v>
                </c:pt>
              </c:strCache>
            </c:strRef>
          </c:cat>
          <c:val>
            <c:numRef>
              <c:f>App_Age_segment!$D$5:$D$9</c:f>
              <c:numCache>
                <c:formatCode>General</c:formatCode>
                <c:ptCount val="4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9E-4ABE-B47C-F1AA2AA1FBC2}"/>
            </c:ext>
          </c:extLst>
        </c:ser>
        <c:ser>
          <c:idx val="3"/>
          <c:order val="3"/>
          <c:tx>
            <c:strRef>
              <c:f>App_Age_segment!$E$3:$E$4</c:f>
              <c:strCache>
                <c:ptCount val="1"/>
                <c:pt idx="0">
                  <c:v>PhonePe</c:v>
                </c:pt>
              </c:strCache>
            </c:strRef>
          </c:tx>
          <c:spPr>
            <a:noFill/>
            <a:ln w="25400" cap="flat" cmpd="sng" algn="ctr">
              <a:solidFill>
                <a:schemeClr val="accent4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App_Age_segment!$A$5:$A$9</c:f>
              <c:strCache>
                <c:ptCount val="4"/>
                <c:pt idx="0">
                  <c:v>18-25</c:v>
                </c:pt>
                <c:pt idx="1">
                  <c:v>26-40</c:v>
                </c:pt>
                <c:pt idx="2">
                  <c:v>Above 40</c:v>
                </c:pt>
                <c:pt idx="3">
                  <c:v>Below 18</c:v>
                </c:pt>
              </c:strCache>
            </c:strRef>
          </c:cat>
          <c:val>
            <c:numRef>
              <c:f>App_Age_segment!$E$5:$E$9</c:f>
              <c:numCache>
                <c:formatCode>General</c:formatCode>
                <c:ptCount val="4"/>
                <c:pt idx="0">
                  <c:v>6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49E-4ABE-B47C-F1AA2AA1FBC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35"/>
        <c:axId val="1933170912"/>
        <c:axId val="1933175904"/>
      </c:barChart>
      <c:catAx>
        <c:axId val="1933170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175904"/>
        <c:crosses val="autoZero"/>
        <c:auto val="1"/>
        <c:lblAlgn val="ctr"/>
        <c:lblOffset val="100"/>
        <c:noMultiLvlLbl val="0"/>
      </c:catAx>
      <c:valAx>
        <c:axId val="1933175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170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[UPI_Dashboard_FinalRepo.xlsx]NonUser_Reason!PivotTable10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u="none">
                <a:solidFill>
                  <a:schemeClr val="tx1"/>
                </a:solidFill>
                <a:latin typeface="Bodoni MT Black" panose="02070A03080606020203" pitchFamily="18" charset="0"/>
              </a:rPr>
              <a:t>NonUser_Reason</a:t>
            </a:r>
          </a:p>
        </c:rich>
      </c:tx>
      <c:layout>
        <c:manualLayout>
          <c:xMode val="edge"/>
          <c:yMode val="edge"/>
          <c:x val="0.33828574174982429"/>
          <c:y val="2.96857627561974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/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/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/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/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/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/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/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/>
        </c:spPr>
      </c:pivotFmt>
      <c:pivotFmt>
        <c:idx val="10"/>
        <c:spPr>
          <a:gradFill rotWithShape="1">
            <a:gsLst>
              <a:gs pos="0">
                <a:schemeClr val="accent1"/>
              </a:gs>
              <a:gs pos="90000">
                <a:schemeClr val="accent1">
                  <a:shade val="100000"/>
                </a:schemeClr>
              </a:gs>
              <a:gs pos="100000">
                <a:schemeClr val="accent1">
                  <a:shade val="85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/>
              </a:gs>
              <a:gs pos="90000">
                <a:schemeClr val="accent1">
                  <a:shade val="100000"/>
                </a:schemeClr>
              </a:gs>
              <a:gs pos="100000">
                <a:schemeClr val="accent1">
                  <a:shade val="85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</c:pivotFmt>
      <c:pivotFmt>
        <c:idx val="12"/>
        <c:spPr>
          <a:gradFill rotWithShape="1">
            <a:gsLst>
              <a:gs pos="0">
                <a:schemeClr val="accent1"/>
              </a:gs>
              <a:gs pos="90000">
                <a:schemeClr val="accent1">
                  <a:shade val="100000"/>
                </a:schemeClr>
              </a:gs>
              <a:gs pos="100000">
                <a:schemeClr val="accent1">
                  <a:shade val="85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</c:pivotFmt>
      <c:pivotFmt>
        <c:idx val="13"/>
        <c:spPr>
          <a:gradFill rotWithShape="1">
            <a:gsLst>
              <a:gs pos="0">
                <a:schemeClr val="accent1"/>
              </a:gs>
              <a:gs pos="90000">
                <a:schemeClr val="accent1">
                  <a:shade val="100000"/>
                </a:schemeClr>
              </a:gs>
              <a:gs pos="100000">
                <a:schemeClr val="accent1">
                  <a:shade val="85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</c:pivotFmt>
      <c:pivotFmt>
        <c:idx val="14"/>
        <c:spPr>
          <a:gradFill rotWithShape="1">
            <a:gsLst>
              <a:gs pos="0">
                <a:schemeClr val="accent1"/>
              </a:gs>
              <a:gs pos="90000">
                <a:schemeClr val="accent1">
                  <a:shade val="100000"/>
                </a:schemeClr>
              </a:gs>
              <a:gs pos="100000">
                <a:schemeClr val="accent1">
                  <a:shade val="85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NonUser_Reason!$B$3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/>
                  </a:gs>
                  <a:gs pos="90000">
                    <a:schemeClr val="accent1">
                      <a:shade val="100000"/>
                    </a:schemeClr>
                  </a:gs>
                  <a:gs pos="100000">
                    <a:schemeClr val="accent1">
                      <a:shade val="85000"/>
                    </a:schemeClr>
                  </a:gs>
                </a:gsLst>
                <a:path path="circle">
                  <a:fillToRect l="100000" t="100000" r="100000" b="100000"/>
                </a:path>
              </a:gradFill>
              <a:ln>
                <a:noFill/>
              </a:ln>
              <a:effectLst>
                <a:outerShdw blurRad="38100" dist="254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rightRoom" dir="t"/>
              </a:scene3d>
              <a:sp3d extrusionH="12700" prstMaterial="flat">
                <a:bevelT w="63500" h="152400" prst="angle"/>
                <a:contourClr>
                  <a:scrgbClr r="0" g="0" b="0">
                    <a:shade val="30000"/>
                  </a:scrgb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477-4D57-A94D-31D69CA2C80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/>
                  </a:gs>
                  <a:gs pos="90000">
                    <a:schemeClr val="accent3">
                      <a:shade val="100000"/>
                    </a:schemeClr>
                  </a:gs>
                  <a:gs pos="100000">
                    <a:schemeClr val="accent3">
                      <a:shade val="85000"/>
                    </a:schemeClr>
                  </a:gs>
                </a:gsLst>
                <a:path path="circle">
                  <a:fillToRect l="100000" t="100000" r="100000" b="100000"/>
                </a:path>
              </a:gradFill>
              <a:ln>
                <a:noFill/>
              </a:ln>
              <a:effectLst>
                <a:outerShdw blurRad="38100" dist="254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rightRoom" dir="t"/>
              </a:scene3d>
              <a:sp3d extrusionH="12700" prstMaterial="flat">
                <a:bevelT w="63500" h="152400" prst="angle"/>
                <a:contourClr>
                  <a:scrgbClr r="0" g="0" b="0">
                    <a:shade val="30000"/>
                  </a:scrgb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477-4D57-A94D-31D69CA2C80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5"/>
                  </a:gs>
                  <a:gs pos="90000">
                    <a:schemeClr val="accent5">
                      <a:shade val="100000"/>
                    </a:schemeClr>
                  </a:gs>
                  <a:gs pos="100000">
                    <a:schemeClr val="accent5">
                      <a:shade val="85000"/>
                    </a:schemeClr>
                  </a:gs>
                </a:gsLst>
                <a:path path="circle">
                  <a:fillToRect l="100000" t="100000" r="100000" b="100000"/>
                </a:path>
              </a:gradFill>
              <a:ln>
                <a:noFill/>
              </a:ln>
              <a:effectLst>
                <a:outerShdw blurRad="38100" dist="254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rightRoom" dir="t"/>
              </a:scene3d>
              <a:sp3d extrusionH="12700" prstMaterial="flat">
                <a:bevelT w="63500" h="152400" prst="angle"/>
                <a:contourClr>
                  <a:scrgbClr r="0" g="0" b="0">
                    <a:shade val="30000"/>
                  </a:scrgb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477-4D57-A94D-31D69CA2C80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lumMod val="60000"/>
                    </a:schemeClr>
                  </a:gs>
                  <a:gs pos="90000">
                    <a:schemeClr val="accent1">
                      <a:lumMod val="60000"/>
                      <a:shade val="100000"/>
                    </a:schemeClr>
                  </a:gs>
                  <a:gs pos="100000">
                    <a:schemeClr val="accent1">
                      <a:lumMod val="60000"/>
                      <a:shade val="85000"/>
                    </a:schemeClr>
                  </a:gs>
                </a:gsLst>
                <a:path path="circle">
                  <a:fillToRect l="100000" t="100000" r="100000" b="100000"/>
                </a:path>
              </a:gradFill>
              <a:ln>
                <a:noFill/>
              </a:ln>
              <a:effectLst>
                <a:outerShdw blurRad="38100" dist="254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rightRoom" dir="t"/>
              </a:scene3d>
              <a:sp3d extrusionH="12700" prstMaterial="flat">
                <a:bevelT w="63500" h="152400" prst="angle"/>
                <a:contourClr>
                  <a:scrgbClr r="0" g="0" b="0">
                    <a:shade val="30000"/>
                  </a:scrgb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477-4D57-A94D-31D69CA2C80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NonUser_Reason!$A$4:$A$8</c:f>
              <c:strCache>
                <c:ptCount val="4"/>
                <c:pt idx="0">
                  <c:v>Lack of Digital Literacy (Don't know how to use it)</c:v>
                </c:pt>
                <c:pt idx="1">
                  <c:v>Poor Internet Connectivity (Network issues)</c:v>
                </c:pt>
                <c:pt idx="2">
                  <c:v>Preference (Prefer to use cash/other methods)</c:v>
                </c:pt>
                <c:pt idx="3">
                  <c:v>Security/Fraud Concerns</c:v>
                </c:pt>
              </c:strCache>
            </c:strRef>
          </c:cat>
          <c:val>
            <c:numRef>
              <c:f>NonUser_Reason!$B$4:$B$8</c:f>
              <c:numCache>
                <c:formatCode>General</c:formatCode>
                <c:ptCount val="4"/>
                <c:pt idx="0">
                  <c:v>1</c:v>
                </c:pt>
                <c:pt idx="1">
                  <c:v>27</c:v>
                </c:pt>
                <c:pt idx="2">
                  <c:v>13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477-4D57-A94D-31D69CA2C80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0936088468393501"/>
          <c:y val="0.18517868105347668"/>
          <c:w val="0.37498353801665207"/>
          <c:h val="0.73784084480273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[UPI_Dashboard_FinalRepo.xlsx]Prim_Uses_Reason!PivotTable9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  <a:latin typeface="Arial Black" panose="020B0A04020102020204" pitchFamily="34" charset="0"/>
              </a:rPr>
              <a:t>Primary Reason to Use</a:t>
            </a:r>
          </a:p>
        </c:rich>
      </c:tx>
      <c:layout>
        <c:manualLayout>
          <c:xMode val="edge"/>
          <c:yMode val="edge"/>
          <c:x val="0.32436557403659039"/>
          <c:y val="7.08003841831132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/>
              </a:gs>
              <a:gs pos="90000">
                <a:schemeClr val="accent1">
                  <a:shade val="100000"/>
                </a:schemeClr>
              </a:gs>
              <a:gs pos="100000">
                <a:schemeClr val="accent1">
                  <a:shade val="85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Prim_Uses_Reason!$B$3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/>
                </a:gs>
                <a:gs pos="90000">
                  <a:schemeClr val="accent1">
                    <a:shade val="100000"/>
                  </a:schemeClr>
                </a:gs>
                <a:gs pos="100000">
                  <a:schemeClr val="accent1">
                    <a:shade val="85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38100" dist="254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brightRoom" dir="t"/>
            </a:scene3d>
            <a:sp3d extrusionH="12700" contourW="25400" prstMaterial="flat">
              <a:bevelT w="63500" h="152400" prst="angle"/>
              <a:contourClr>
                <a:scrgbClr r="0" g="0" b="0">
                  <a:shade val="30000"/>
                </a:scrgb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Prim_Uses_Reason!$A$4:$A$9</c:f>
              <c:strCache>
                <c:ptCount val="5"/>
                <c:pt idx="0">
                  <c:v>All of the above</c:v>
                </c:pt>
                <c:pt idx="1">
                  <c:v>Convenience  (No need to carry cash)</c:v>
                </c:pt>
                <c:pt idx="2">
                  <c:v>Government Promotion/Initiatives</c:v>
                </c:pt>
                <c:pt idx="3">
                  <c:v>Merchant/Shopkeeper Demand (Acceptance everywhere)</c:v>
                </c:pt>
                <c:pt idx="4">
                  <c:v>Speed (Instant payment settlement)</c:v>
                </c:pt>
              </c:strCache>
            </c:strRef>
          </c:cat>
          <c:val>
            <c:numRef>
              <c:f>Prim_Uses_Reason!$B$4:$B$9</c:f>
              <c:numCache>
                <c:formatCode>General</c:formatCode>
                <c:ptCount val="5"/>
                <c:pt idx="0">
                  <c:v>33</c:v>
                </c:pt>
                <c:pt idx="1">
                  <c:v>13</c:v>
                </c:pt>
                <c:pt idx="2">
                  <c:v>3</c:v>
                </c:pt>
                <c:pt idx="3">
                  <c:v>1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A4-423A-A6B9-E9EF88FACDD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809319872"/>
        <c:axId val="1809319040"/>
      </c:barChart>
      <c:catAx>
        <c:axId val="1809319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319040"/>
        <c:crosses val="autoZero"/>
        <c:auto val="1"/>
        <c:lblAlgn val="ctr"/>
        <c:lblOffset val="100"/>
        <c:noMultiLvlLbl val="0"/>
      </c:catAx>
      <c:valAx>
        <c:axId val="1809319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319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[UPI_Dashboard_FinalRepo.xlsx]Perc__Benefit!PivotTable8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  <a:latin typeface="Bodoni MT Black" panose="02070A03080606020203" pitchFamily="18" charset="0"/>
              </a:rPr>
              <a:t>Perception of Benefit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6220617138750468"/>
          <c:y val="0.25117937601308737"/>
          <c:w val="0.7185739282589676"/>
          <c:h val="0.481609434237387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Perc__Benefit!$B$3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Perc__Benefit!$A$4:$A$6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Perc__Benefit!$B$4:$B$6</c:f>
              <c:numCache>
                <c:formatCode>General</c:formatCode>
                <c:ptCount val="2"/>
                <c:pt idx="0">
                  <c:v>6</c:v>
                </c:pt>
                <c:pt idx="1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91-40EB-9177-F6A91C6CACF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9"/>
        <c:shape val="box"/>
        <c:axId val="1933165504"/>
        <c:axId val="1933167584"/>
        <c:axId val="0"/>
      </c:bar3DChart>
      <c:catAx>
        <c:axId val="1933165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167584"/>
        <c:crosses val="autoZero"/>
        <c:auto val="1"/>
        <c:lblAlgn val="ctr"/>
        <c:lblOffset val="100"/>
        <c:noMultiLvlLbl val="0"/>
      </c:catAx>
      <c:valAx>
        <c:axId val="19331675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331655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[UPI_Dashboard_FinalRepo.xlsx]PERCEP_SECUR!PivotTable7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cap="all" spc="50" baseline="0">
                <a:solidFill>
                  <a:schemeClr val="tx1"/>
                </a:solidFill>
                <a:latin typeface="Bodoni MT Black" panose="02070A03080606020203" pitchFamily="18" charset="0"/>
                <a:ea typeface="+mn-ea"/>
                <a:cs typeface="+mn-cs"/>
              </a:defRPr>
            </a:pPr>
            <a:r>
              <a:rPr lang="en-US" sz="1800"/>
              <a:t>PERCEPTION OF SECURITY</a:t>
            </a:r>
          </a:p>
        </c:rich>
      </c:tx>
      <c:layout>
        <c:manualLayout>
          <c:xMode val="edge"/>
          <c:yMode val="edge"/>
          <c:x val="0.15303416884629198"/>
          <c:y val="0.121515174836665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cap="all" spc="50" baseline="0">
              <a:solidFill>
                <a:schemeClr val="tx1"/>
              </a:solidFill>
              <a:latin typeface="Bodoni MT Black" panose="02070A03080606020203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1" i="0" u="none" strike="noStrike" kern="1200" cap="all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1" i="0" u="none" strike="noStrike" kern="1200" cap="all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600" b="1" i="0" u="none" strike="noStrike" kern="1200" cap="all" baseline="0">
                  <a:solidFill>
                    <a:schemeClr val="bg1"/>
                  </a:solidFill>
                  <a:latin typeface="Bodoni MT Black" panose="02070A03080606020203" pitchFamily="18" charset="0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PERCEP_SECUR!$B$3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3AA-4B17-9705-5CE2304045E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3AA-4B17-9705-5CE2304045E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600" b="1" i="0" u="none" strike="noStrike" kern="1200" cap="all" baseline="0">
                    <a:solidFill>
                      <a:schemeClr val="bg1"/>
                    </a:solidFill>
                    <a:latin typeface="Bodoni MT Black" panose="02070A030806060202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PERCEP_SECUR!$A$4:$A$6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PERCEP_SECUR!$B$4:$B$6</c:f>
              <c:numCache>
                <c:formatCode>General</c:formatCode>
                <c:ptCount val="2"/>
                <c:pt idx="0">
                  <c:v>10</c:v>
                </c:pt>
                <c:pt idx="1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AA-4B17-9705-5CE2304045E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cap="all" baseline="0">
              <a:solidFill>
                <a:schemeClr val="tx1"/>
              </a:solidFill>
              <a:latin typeface="Bodoni MT Black" panose="02070A030806060202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 rtl="0">
        <a:defRPr lang="en-US" sz="1600" b="1" i="0" u="none" strike="noStrike" kern="1200" cap="all" baseline="0">
          <a:solidFill>
            <a:schemeClr val="tx1"/>
          </a:solidFill>
          <a:latin typeface="Bodoni MT Black" panose="02070A03080606020203" pitchFamily="18" charset="0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[UPI_Dashboard_FinalRepo.xlsx]ISSU_FACED!PivotTable6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  <a:latin typeface="Bodoni MT Black" panose="02070A03080606020203" pitchFamily="18" charset="0"/>
              </a:rPr>
              <a:t>ISSUES FACED</a:t>
            </a:r>
          </a:p>
        </c:rich>
      </c:tx>
      <c:layout>
        <c:manualLayout>
          <c:xMode val="edge"/>
          <c:yMode val="edge"/>
          <c:x val="0.47130959048528975"/>
          <c:y val="0.10416677962199654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spc="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ofPieChart>
        <c:ofPieType val="bar"/>
        <c:varyColors val="1"/>
        <c:ser>
          <c:idx val="0"/>
          <c:order val="0"/>
          <c:tx>
            <c:strRef>
              <c:f>ISSU_FACED!$B$3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8CC-4812-B3DA-66AD3282FA21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8CC-4812-B3DA-66AD3282FA21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4-48CC-4812-B3DA-66AD3282FA2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spc="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ISSU_FACED!$A$4:$A$6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ISSU_FACED!$B$4:$B$6</c:f>
              <c:numCache>
                <c:formatCode>General</c:formatCode>
                <c:ptCount val="2"/>
                <c:pt idx="0">
                  <c:v>50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8CC-4812-B3DA-66AD3282FA21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  <a:scene3d>
      <a:camera prst="orthographicFront"/>
      <a:lightRig rig="threePt" dir="t"/>
    </a:scene3d>
    <a:sp3d>
      <a:bevelT w="190500" h="38100"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[UPI_Dashboard_FinalRepo.xlsx]PURPOSE_USE!PivotTable5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chemeClr val="tx1"/>
                </a:solidFill>
                <a:latin typeface="Bodoni MT Black" panose="02070A03080606020203" pitchFamily="18" charset="0"/>
              </a:rPr>
              <a:t>PURPOSE</a:t>
            </a:r>
            <a:r>
              <a:rPr lang="en-US" sz="1600" baseline="0">
                <a:solidFill>
                  <a:schemeClr val="tx1"/>
                </a:solidFill>
                <a:latin typeface="Bodoni MT Black" panose="02070A03080606020203" pitchFamily="18" charset="0"/>
              </a:rPr>
              <a:t> OF USE</a:t>
            </a:r>
            <a:endParaRPr lang="en-US" sz="1600">
              <a:solidFill>
                <a:schemeClr val="tx1"/>
              </a:solidFill>
              <a:latin typeface="Bodoni MT Black" panose="02070A03080606020203" pitchFamily="18" charset="0"/>
            </a:endParaRPr>
          </a:p>
        </c:rich>
      </c:tx>
      <c:layout>
        <c:manualLayout>
          <c:xMode val="edge"/>
          <c:yMode val="edge"/>
          <c:x val="0.44435956345102573"/>
          <c:y val="5.41103813146925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9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1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2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3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4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6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7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8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>
        <c:manualLayout>
          <c:layoutTarget val="inner"/>
          <c:xMode val="edge"/>
          <c:yMode val="edge"/>
          <c:x val="0.13375524934383201"/>
          <c:y val="0.25232720909886264"/>
          <c:w val="0.39128937007874021"/>
          <c:h val="0.65214895013123364"/>
        </c:manualLayout>
      </c:layout>
      <c:doughnutChart>
        <c:varyColors val="1"/>
        <c:ser>
          <c:idx val="0"/>
          <c:order val="0"/>
          <c:tx>
            <c:strRef>
              <c:f>PURPOSE_USE!$B$1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001-401C-B13B-27C2DF3A0681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001-401C-B13B-27C2DF3A0681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001-401C-B13B-27C2DF3A0681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001-401C-B13B-27C2DF3A068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PURPOSE_USE!$A$2:$A$6</c:f>
              <c:strCache>
                <c:ptCount val="4"/>
                <c:pt idx="0">
                  <c:v>Bill Payments</c:v>
                </c:pt>
                <c:pt idx="1">
                  <c:v>Local grocery/Kirana Shop</c:v>
                </c:pt>
                <c:pt idx="2">
                  <c:v>Money Transfer</c:v>
                </c:pt>
                <c:pt idx="3">
                  <c:v>Online Shopping</c:v>
                </c:pt>
              </c:strCache>
            </c:strRef>
          </c:cat>
          <c:val>
            <c:numRef>
              <c:f>PURPOSE_USE!$B$2:$B$6</c:f>
              <c:numCache>
                <c:formatCode>General</c:formatCode>
                <c:ptCount val="4"/>
                <c:pt idx="0">
                  <c:v>15</c:v>
                </c:pt>
                <c:pt idx="1">
                  <c:v>24</c:v>
                </c:pt>
                <c:pt idx="2">
                  <c:v>9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001-401C-B13B-27C2DF3A0681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5238619455389226"/>
          <c:y val="0.31025065237932942"/>
          <c:w val="0.4303250067272032"/>
          <c:h val="0.613751164363793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[UPI_Dashboard_FinalRepo.xlsx]FREQ_USES!PivotTable4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chemeClr val="tx1"/>
                </a:solidFill>
                <a:latin typeface="Arial Black" panose="020B0A04020102020204" pitchFamily="34" charset="0"/>
              </a:rPr>
              <a:t>FREQUENCY OF USE</a:t>
            </a:r>
          </a:p>
        </c:rich>
      </c:tx>
      <c:layout>
        <c:manualLayout>
          <c:xMode val="edge"/>
          <c:yMode val="edge"/>
          <c:x val="0.34769138736548583"/>
          <c:y val="5.47633227002469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/>
              </a:gs>
              <a:gs pos="90000">
                <a:schemeClr val="accent6">
                  <a:shade val="100000"/>
                </a:schemeClr>
              </a:gs>
              <a:gs pos="100000">
                <a:schemeClr val="accent6">
                  <a:shade val="85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FREQ_USES!$B$3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/>
                </a:gs>
                <a:gs pos="90000">
                  <a:schemeClr val="accent6">
                    <a:shade val="100000"/>
                  </a:schemeClr>
                </a:gs>
                <a:gs pos="100000">
                  <a:schemeClr val="accent6">
                    <a:shade val="85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38100" dist="254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brightRoom" dir="t"/>
            </a:scene3d>
            <a:sp3d extrusionH="12700" contourW="25400" prstMaterial="flat">
              <a:bevelT w="63500" h="152400" prst="angle"/>
              <a:contourClr>
                <a:scrgbClr r="0" g="0" b="0">
                  <a:shade val="30000"/>
                </a:scrgb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6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FREQ_USES!$A$4:$A$7</c:f>
              <c:strCache>
                <c:ptCount val="3"/>
                <c:pt idx="0">
                  <c:v>1-2 Times</c:v>
                </c:pt>
                <c:pt idx="1">
                  <c:v>3-5 Times</c:v>
                </c:pt>
                <c:pt idx="2">
                  <c:v>Daily</c:v>
                </c:pt>
              </c:strCache>
            </c:strRef>
          </c:cat>
          <c:val>
            <c:numRef>
              <c:f>FREQ_USES!$B$4:$B$7</c:f>
              <c:numCache>
                <c:formatCode>General</c:formatCode>
                <c:ptCount val="3"/>
                <c:pt idx="0">
                  <c:v>14</c:v>
                </c:pt>
                <c:pt idx="1">
                  <c:v>16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93-4199-A092-320A0CA9EA4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834586336"/>
        <c:axId val="1834586752"/>
      </c:barChart>
      <c:catAx>
        <c:axId val="1834586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586752"/>
        <c:crosses val="autoZero"/>
        <c:auto val="1"/>
        <c:lblAlgn val="ctr"/>
        <c:lblOffset val="100"/>
        <c:noMultiLvlLbl val="0"/>
      </c:catAx>
      <c:valAx>
        <c:axId val="183458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58633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[UPI_Dashboard_FinalRepo.xlsx]Pvt_Freq!PivotTable3</c:name>
    <c:fmtId val="14"/>
  </c:pivotSource>
  <c:chart>
    <c:title>
      <c:tx>
        <c:rich>
          <a:bodyPr rot="0" vert="horz"/>
          <a:lstStyle/>
          <a:p>
            <a:pPr>
              <a:defRPr/>
            </a:pPr>
            <a:r>
              <a:rPr lang="en-US">
                <a:latin typeface="Bodoni MT Black" panose="02070A03080606020203" pitchFamily="18" charset="0"/>
              </a:rPr>
              <a:t>MOST USED UPI APP</a:t>
            </a:r>
          </a:p>
        </c:rich>
      </c:tx>
      <c:layout>
        <c:manualLayout>
          <c:xMode val="edge"/>
          <c:yMode val="edge"/>
          <c:x val="0.40536177521541322"/>
          <c:y val="6.1218388313158907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2"/>
        <c:spPr>
          <a:solidFill>
            <a:schemeClr val="accent5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3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4"/>
        <c:spPr>
          <a:solidFill>
            <a:schemeClr val="accent6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5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7"/>
        <c:spPr>
          <a:solidFill>
            <a:schemeClr val="accent5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8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9"/>
        <c:spPr>
          <a:solidFill>
            <a:schemeClr val="accent6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vert="horz"/>
            <a:lstStyle/>
            <a:p>
              <a:pPr>
                <a:defRPr sz="1200">
                  <a:solidFill>
                    <a:schemeClr val="bg1"/>
                  </a:solidFill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2"/>
        <c:spPr>
          <a:solidFill>
            <a:schemeClr val="accent5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3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4"/>
        <c:spPr>
          <a:solidFill>
            <a:schemeClr val="accent6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Pvt_Freq!$B$3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47C9-452A-9605-E773E781003D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47C9-452A-9605-E773E781003D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47C9-452A-9605-E773E781003D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47C9-452A-9605-E773E781003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 sz="1200"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Pvt_Freq!$A$4:$A$8</c:f>
              <c:strCache>
                <c:ptCount val="4"/>
                <c:pt idx="0">
                  <c:v>Fampay</c:v>
                </c:pt>
                <c:pt idx="1">
                  <c:v>Google Pay</c:v>
                </c:pt>
                <c:pt idx="2">
                  <c:v>Paytm</c:v>
                </c:pt>
                <c:pt idx="3">
                  <c:v>PhonePe</c:v>
                </c:pt>
              </c:strCache>
            </c:strRef>
          </c:cat>
          <c:val>
            <c:numRef>
              <c:f>Pvt_Freq!$B$4:$B$8</c:f>
              <c:numCache>
                <c:formatCode>General</c:formatCode>
                <c:ptCount val="4"/>
                <c:pt idx="0">
                  <c:v>4</c:v>
                </c:pt>
                <c:pt idx="1">
                  <c:v>43</c:v>
                </c:pt>
                <c:pt idx="2">
                  <c:v>1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7C9-452A-9605-E773E781003D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[UPI_Dashboard_FinalRepo.xlsx]Pvt_Freq!PivotTable3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Most used UPI App</a:t>
            </a:r>
          </a:p>
        </c:rich>
      </c:tx>
      <c:layout>
        <c:manualLayout>
          <c:xMode val="edge"/>
          <c:yMode val="edge"/>
          <c:x val="0.31563188976377954"/>
          <c:y val="8.231262758821814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2"/>
        <c:spPr>
          <a:solidFill>
            <a:schemeClr val="accent5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3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4"/>
        <c:spPr>
          <a:solidFill>
            <a:schemeClr val="accent6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Pvt_Freq!$B$3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A97E-4326-A885-34294D1C560F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A97E-4326-A885-34294D1C560F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A97E-4326-A885-34294D1C560F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A97E-4326-A885-34294D1C560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Pvt_Freq!$A$4:$A$8</c:f>
              <c:strCache>
                <c:ptCount val="4"/>
                <c:pt idx="0">
                  <c:v>Fampay</c:v>
                </c:pt>
                <c:pt idx="1">
                  <c:v>Google Pay</c:v>
                </c:pt>
                <c:pt idx="2">
                  <c:v>Paytm</c:v>
                </c:pt>
                <c:pt idx="3">
                  <c:v>PhonePe</c:v>
                </c:pt>
              </c:strCache>
            </c:strRef>
          </c:cat>
          <c:val>
            <c:numRef>
              <c:f>Pvt_Freq!$B$4:$B$8</c:f>
              <c:numCache>
                <c:formatCode>General</c:formatCode>
                <c:ptCount val="4"/>
                <c:pt idx="0">
                  <c:v>4</c:v>
                </c:pt>
                <c:pt idx="1">
                  <c:v>43</c:v>
                </c:pt>
                <c:pt idx="2">
                  <c:v>1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7E-4326-A885-34294D1C560F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[UPI_Dashboard_FinalRepo.xlsx]FREQ_USES!PivotTable4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FREQUENCY OF USE</a:t>
            </a:r>
          </a:p>
        </c:rich>
      </c:tx>
      <c:layout>
        <c:manualLayout>
          <c:xMode val="edge"/>
          <c:yMode val="edge"/>
          <c:x val="0.33404155730533686"/>
          <c:y val="6.84237386993292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/>
              </a:gs>
              <a:gs pos="90000">
                <a:schemeClr val="accent6">
                  <a:shade val="100000"/>
                </a:schemeClr>
              </a:gs>
              <a:gs pos="100000">
                <a:schemeClr val="accent6">
                  <a:shade val="85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FREQ_USES!$B$3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/>
                </a:gs>
                <a:gs pos="90000">
                  <a:schemeClr val="accent6">
                    <a:shade val="100000"/>
                  </a:schemeClr>
                </a:gs>
                <a:gs pos="100000">
                  <a:schemeClr val="accent6">
                    <a:shade val="85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38100" dist="254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brightRoom" dir="t"/>
            </a:scene3d>
            <a:sp3d extrusionH="12700" contourW="25400" prstMaterial="flat">
              <a:bevelT w="63500" h="152400" prst="angle"/>
              <a:contourClr>
                <a:scrgbClr r="0" g="0" b="0">
                  <a:shade val="30000"/>
                </a:scrgb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6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FREQ_USES!$A$4:$A$7</c:f>
              <c:strCache>
                <c:ptCount val="3"/>
                <c:pt idx="0">
                  <c:v>1-2 Times</c:v>
                </c:pt>
                <c:pt idx="1">
                  <c:v>3-5 Times</c:v>
                </c:pt>
                <c:pt idx="2">
                  <c:v>Daily</c:v>
                </c:pt>
              </c:strCache>
            </c:strRef>
          </c:cat>
          <c:val>
            <c:numRef>
              <c:f>FREQ_USES!$B$4:$B$7</c:f>
              <c:numCache>
                <c:formatCode>General</c:formatCode>
                <c:ptCount val="3"/>
                <c:pt idx="0">
                  <c:v>14</c:v>
                </c:pt>
                <c:pt idx="1">
                  <c:v>16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E5-4D9D-8D3F-EA24443A29A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834586336"/>
        <c:axId val="1834586752"/>
      </c:barChart>
      <c:catAx>
        <c:axId val="1834586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586752"/>
        <c:crosses val="autoZero"/>
        <c:auto val="1"/>
        <c:lblAlgn val="ctr"/>
        <c:lblOffset val="100"/>
        <c:noMultiLvlLbl val="0"/>
      </c:catAx>
      <c:valAx>
        <c:axId val="183458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58633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[UPI_Dashboard_FinalRepo.xlsx]PURPOSE_USE!PivotTable5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PURPOSE</a:t>
            </a:r>
            <a:r>
              <a:rPr lang="en-US" baseline="0"/>
              <a:t> OF USE</a:t>
            </a:r>
            <a:endParaRPr lang="en-US"/>
          </a:p>
        </c:rich>
      </c:tx>
      <c:layout>
        <c:manualLayout>
          <c:xMode val="edge"/>
          <c:yMode val="edge"/>
          <c:x val="0.35215266841644793"/>
          <c:y val="7.30533683289588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>
        <c:manualLayout>
          <c:layoutTarget val="inner"/>
          <c:xMode val="edge"/>
          <c:yMode val="edge"/>
          <c:x val="0.13375524934383201"/>
          <c:y val="0.25232720909886264"/>
          <c:w val="0.39128937007874021"/>
          <c:h val="0.65214895013123364"/>
        </c:manualLayout>
      </c:layout>
      <c:doughnutChart>
        <c:varyColors val="1"/>
        <c:ser>
          <c:idx val="0"/>
          <c:order val="0"/>
          <c:tx>
            <c:strRef>
              <c:f>PURPOSE_USE!$B$1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148-41C9-B580-1194FA0F6F89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148-41C9-B580-1194FA0F6F89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148-41C9-B580-1194FA0F6F89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148-41C9-B580-1194FA0F6F8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PURPOSE_USE!$A$2:$A$6</c:f>
              <c:strCache>
                <c:ptCount val="4"/>
                <c:pt idx="0">
                  <c:v>Bill Payments</c:v>
                </c:pt>
                <c:pt idx="1">
                  <c:v>Local grocery/Kirana Shop</c:v>
                </c:pt>
                <c:pt idx="2">
                  <c:v>Money Transfer</c:v>
                </c:pt>
                <c:pt idx="3">
                  <c:v>Online Shopping</c:v>
                </c:pt>
              </c:strCache>
            </c:strRef>
          </c:cat>
          <c:val>
            <c:numRef>
              <c:f>PURPOSE_USE!$B$2:$B$6</c:f>
              <c:numCache>
                <c:formatCode>General</c:formatCode>
                <c:ptCount val="4"/>
                <c:pt idx="0">
                  <c:v>15</c:v>
                </c:pt>
                <c:pt idx="1">
                  <c:v>24</c:v>
                </c:pt>
                <c:pt idx="2">
                  <c:v>9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F8-4A78-A2D0-F95463116D8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[UPI_Dashboard_FinalRepo.xlsx]ISSU_FACED!PivotTable6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ISSUES FACED</a:t>
            </a:r>
          </a:p>
        </c:rich>
      </c:tx>
      <c:layout>
        <c:manualLayout>
          <c:xMode val="edge"/>
          <c:yMode val="edge"/>
          <c:x val="0.36531233595800527"/>
          <c:y val="7.7682997958588504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ofPieChart>
        <c:ofPieType val="bar"/>
        <c:varyColors val="1"/>
        <c:ser>
          <c:idx val="0"/>
          <c:order val="0"/>
          <c:tx>
            <c:strRef>
              <c:f>ISSU_FACED!$B$3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8D2-4335-B681-4CB46E86C14F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C8D2-4335-B681-4CB46E86C14F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C8D2-4335-B681-4CB46E86C14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ISSU_FACED!$A$4:$A$6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ISSU_FACED!$B$4:$B$6</c:f>
              <c:numCache>
                <c:formatCode>General</c:formatCode>
                <c:ptCount val="2"/>
                <c:pt idx="0">
                  <c:v>50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D2-4335-B681-4CB46E86C14F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[UPI_Dashboard_FinalRepo.xlsx]PERCEP_SECUR!PivotTable7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PERCEPTION OF SECURITY</a:t>
            </a:r>
          </a:p>
        </c:rich>
      </c:tx>
      <c:layout>
        <c:manualLayout>
          <c:xMode val="edge"/>
          <c:yMode val="edge"/>
          <c:x val="0.29165266841644794"/>
          <c:y val="6.84237386993292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PERCEP_SECUR!$B$3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AE2-421C-A407-FA35D898380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AE2-421C-A407-FA35D898380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PERCEP_SECUR!$A$4:$A$6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PERCEP_SECUR!$B$4:$B$6</c:f>
              <c:numCache>
                <c:formatCode>General</c:formatCode>
                <c:ptCount val="2"/>
                <c:pt idx="0">
                  <c:v>10</c:v>
                </c:pt>
                <c:pt idx="1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54-4501-BFBC-F06347401ED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[UPI_Dashboard_FinalRepo.xlsx]Perc__Benefit!PivotTable8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Perception of Benefit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5112970253718286"/>
          <c:y val="0.26069225721784778"/>
          <c:w val="0.7185739282589676"/>
          <c:h val="0.481609434237387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Perc__Benefit!$B$3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Perc__Benefit!$A$4:$A$6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Perc__Benefit!$B$4:$B$6</c:f>
              <c:numCache>
                <c:formatCode>General</c:formatCode>
                <c:ptCount val="2"/>
                <c:pt idx="0">
                  <c:v>6</c:v>
                </c:pt>
                <c:pt idx="1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EE-4827-9D82-EBCC45A7109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9"/>
        <c:shape val="box"/>
        <c:axId val="1933165504"/>
        <c:axId val="1933167584"/>
        <c:axId val="0"/>
      </c:bar3DChart>
      <c:catAx>
        <c:axId val="1933165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167584"/>
        <c:crosses val="autoZero"/>
        <c:auto val="1"/>
        <c:lblAlgn val="ctr"/>
        <c:lblOffset val="100"/>
        <c:noMultiLvlLbl val="0"/>
      </c:catAx>
      <c:valAx>
        <c:axId val="19331675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331655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[UPI_Dashboard_FinalRepo.xlsx]Prim_Uses_Reason!PivotTable9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Primary Reason to Use</a:t>
            </a:r>
          </a:p>
        </c:rich>
      </c:tx>
      <c:layout>
        <c:manualLayout>
          <c:xMode val="edge"/>
          <c:yMode val="edge"/>
          <c:x val="0.32436557403659039"/>
          <c:y val="7.08003841831132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/>
              </a:gs>
              <a:gs pos="90000">
                <a:schemeClr val="accent1">
                  <a:shade val="100000"/>
                </a:schemeClr>
              </a:gs>
              <a:gs pos="100000">
                <a:schemeClr val="accent1">
                  <a:shade val="85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Prim_Uses_Reason!$B$3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/>
                </a:gs>
                <a:gs pos="90000">
                  <a:schemeClr val="accent1">
                    <a:shade val="100000"/>
                  </a:schemeClr>
                </a:gs>
                <a:gs pos="100000">
                  <a:schemeClr val="accent1">
                    <a:shade val="85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38100" dist="254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brightRoom" dir="t"/>
            </a:scene3d>
            <a:sp3d extrusionH="12700" contourW="25400" prstMaterial="flat">
              <a:bevelT w="63500" h="152400" prst="angle"/>
              <a:contourClr>
                <a:scrgbClr r="0" g="0" b="0">
                  <a:shade val="30000"/>
                </a:scrgb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Prim_Uses_Reason!$A$4:$A$9</c:f>
              <c:strCache>
                <c:ptCount val="5"/>
                <c:pt idx="0">
                  <c:v>All of the above</c:v>
                </c:pt>
                <c:pt idx="1">
                  <c:v>Convenience  (No need to carry cash)</c:v>
                </c:pt>
                <c:pt idx="2">
                  <c:v>Government Promotion/Initiatives</c:v>
                </c:pt>
                <c:pt idx="3">
                  <c:v>Merchant/Shopkeeper Demand (Acceptance everywhere)</c:v>
                </c:pt>
                <c:pt idx="4">
                  <c:v>Speed (Instant payment settlement)</c:v>
                </c:pt>
              </c:strCache>
            </c:strRef>
          </c:cat>
          <c:val>
            <c:numRef>
              <c:f>Prim_Uses_Reason!$B$4:$B$9</c:f>
              <c:numCache>
                <c:formatCode>General</c:formatCode>
                <c:ptCount val="5"/>
                <c:pt idx="0">
                  <c:v>33</c:v>
                </c:pt>
                <c:pt idx="1">
                  <c:v>13</c:v>
                </c:pt>
                <c:pt idx="2">
                  <c:v>3</c:v>
                </c:pt>
                <c:pt idx="3">
                  <c:v>1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64-40E9-8F56-53A33D4841B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809319872"/>
        <c:axId val="1809319040"/>
      </c:barChart>
      <c:catAx>
        <c:axId val="1809319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319040"/>
        <c:crosses val="autoZero"/>
        <c:auto val="1"/>
        <c:lblAlgn val="ctr"/>
        <c:lblOffset val="100"/>
        <c:noMultiLvlLbl val="0"/>
      </c:catAx>
      <c:valAx>
        <c:axId val="1809319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319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[UPI_Dashboard_FinalRepo.xlsx]NonUser_Reason!PivotTable10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NonUser_Reason</a:t>
            </a:r>
          </a:p>
        </c:rich>
      </c:tx>
      <c:layout>
        <c:manualLayout>
          <c:xMode val="edge"/>
          <c:yMode val="edge"/>
          <c:x val="0.34270058708414874"/>
          <c:y val="7.20326625838436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/>
              </a:gs>
              <a:gs pos="90000">
                <a:schemeClr val="accent1">
                  <a:shade val="100000"/>
                </a:schemeClr>
              </a:gs>
              <a:gs pos="100000">
                <a:schemeClr val="accent1">
                  <a:shade val="85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/>
              </a:gs>
              <a:gs pos="90000">
                <a:schemeClr val="accent1">
                  <a:shade val="100000"/>
                </a:schemeClr>
              </a:gs>
              <a:gs pos="100000">
                <a:schemeClr val="accent1">
                  <a:shade val="85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</c:pivotFmt>
      <c:pivotFmt>
        <c:idx val="2"/>
        <c:spPr>
          <a:gradFill rotWithShape="1">
            <a:gsLst>
              <a:gs pos="0">
                <a:schemeClr val="accent1"/>
              </a:gs>
              <a:gs pos="90000">
                <a:schemeClr val="accent1">
                  <a:shade val="100000"/>
                </a:schemeClr>
              </a:gs>
              <a:gs pos="100000">
                <a:schemeClr val="accent1">
                  <a:shade val="85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</c:pivotFmt>
      <c:pivotFmt>
        <c:idx val="3"/>
        <c:spPr>
          <a:gradFill rotWithShape="1">
            <a:gsLst>
              <a:gs pos="0">
                <a:schemeClr val="accent1"/>
              </a:gs>
              <a:gs pos="90000">
                <a:schemeClr val="accent1">
                  <a:shade val="100000"/>
                </a:schemeClr>
              </a:gs>
              <a:gs pos="100000">
                <a:schemeClr val="accent1">
                  <a:shade val="85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</c:pivotFmt>
      <c:pivotFmt>
        <c:idx val="4"/>
        <c:spPr>
          <a:gradFill rotWithShape="1">
            <a:gsLst>
              <a:gs pos="0">
                <a:schemeClr val="accent1"/>
              </a:gs>
              <a:gs pos="90000">
                <a:schemeClr val="accent1">
                  <a:shade val="100000"/>
                </a:schemeClr>
              </a:gs>
              <a:gs pos="100000">
                <a:schemeClr val="accent1">
                  <a:shade val="85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NonUser_Reason!$B$3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/>
                  </a:gs>
                  <a:gs pos="90000">
                    <a:schemeClr val="accent1">
                      <a:shade val="100000"/>
                    </a:schemeClr>
                  </a:gs>
                  <a:gs pos="100000">
                    <a:schemeClr val="accent1">
                      <a:shade val="85000"/>
                    </a:schemeClr>
                  </a:gs>
                </a:gsLst>
                <a:path path="circle">
                  <a:fillToRect l="100000" t="100000" r="100000" b="100000"/>
                </a:path>
              </a:gradFill>
              <a:ln>
                <a:noFill/>
              </a:ln>
              <a:effectLst>
                <a:outerShdw blurRad="38100" dist="254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rightRoom" dir="t"/>
              </a:scene3d>
              <a:sp3d extrusionH="12700" prstMaterial="flat">
                <a:bevelT w="63500" h="152400" prst="angle"/>
                <a:contourClr>
                  <a:scrgbClr r="0" g="0" b="0">
                    <a:shade val="30000"/>
                  </a:scrgb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FA8-4586-B116-FA4367736A8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/>
                  </a:gs>
                  <a:gs pos="90000">
                    <a:schemeClr val="accent3">
                      <a:shade val="100000"/>
                    </a:schemeClr>
                  </a:gs>
                  <a:gs pos="100000">
                    <a:schemeClr val="accent3">
                      <a:shade val="85000"/>
                    </a:schemeClr>
                  </a:gs>
                </a:gsLst>
                <a:path path="circle">
                  <a:fillToRect l="100000" t="100000" r="100000" b="100000"/>
                </a:path>
              </a:gradFill>
              <a:ln>
                <a:noFill/>
              </a:ln>
              <a:effectLst>
                <a:outerShdw blurRad="38100" dist="254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rightRoom" dir="t"/>
              </a:scene3d>
              <a:sp3d extrusionH="12700" prstMaterial="flat">
                <a:bevelT w="63500" h="152400" prst="angle"/>
                <a:contourClr>
                  <a:scrgbClr r="0" g="0" b="0">
                    <a:shade val="30000"/>
                  </a:scrgb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FA8-4586-B116-FA4367736A8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5"/>
                  </a:gs>
                  <a:gs pos="90000">
                    <a:schemeClr val="accent5">
                      <a:shade val="100000"/>
                    </a:schemeClr>
                  </a:gs>
                  <a:gs pos="100000">
                    <a:schemeClr val="accent5">
                      <a:shade val="85000"/>
                    </a:schemeClr>
                  </a:gs>
                </a:gsLst>
                <a:path path="circle">
                  <a:fillToRect l="100000" t="100000" r="100000" b="100000"/>
                </a:path>
              </a:gradFill>
              <a:ln>
                <a:noFill/>
              </a:ln>
              <a:effectLst>
                <a:outerShdw blurRad="38100" dist="254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rightRoom" dir="t"/>
              </a:scene3d>
              <a:sp3d extrusionH="12700" prstMaterial="flat">
                <a:bevelT w="63500" h="152400" prst="angle"/>
                <a:contourClr>
                  <a:scrgbClr r="0" g="0" b="0">
                    <a:shade val="30000"/>
                  </a:scrgb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FA8-4586-B116-FA4367736A8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lumMod val="60000"/>
                    </a:schemeClr>
                  </a:gs>
                  <a:gs pos="90000">
                    <a:schemeClr val="accent1">
                      <a:lumMod val="60000"/>
                      <a:shade val="100000"/>
                    </a:schemeClr>
                  </a:gs>
                  <a:gs pos="100000">
                    <a:schemeClr val="accent1">
                      <a:lumMod val="60000"/>
                      <a:shade val="85000"/>
                    </a:schemeClr>
                  </a:gs>
                </a:gsLst>
                <a:path path="circle">
                  <a:fillToRect l="100000" t="100000" r="100000" b="100000"/>
                </a:path>
              </a:gradFill>
              <a:ln>
                <a:noFill/>
              </a:ln>
              <a:effectLst>
                <a:outerShdw blurRad="38100" dist="254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rightRoom" dir="t"/>
              </a:scene3d>
              <a:sp3d extrusionH="12700" prstMaterial="flat">
                <a:bevelT w="63500" h="152400" prst="angle"/>
                <a:contourClr>
                  <a:scrgbClr r="0" g="0" b="0">
                    <a:shade val="30000"/>
                  </a:scrgb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FA8-4586-B116-FA4367736A8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NonUser_Reason!$A$4:$A$8</c:f>
              <c:strCache>
                <c:ptCount val="4"/>
                <c:pt idx="0">
                  <c:v>Lack of Digital Literacy (Don't know how to use it)</c:v>
                </c:pt>
                <c:pt idx="1">
                  <c:v>Poor Internet Connectivity (Network issues)</c:v>
                </c:pt>
                <c:pt idx="2">
                  <c:v>Preference (Prefer to use cash/other methods)</c:v>
                </c:pt>
                <c:pt idx="3">
                  <c:v>Security/Fraud Concerns</c:v>
                </c:pt>
              </c:strCache>
            </c:strRef>
          </c:cat>
          <c:val>
            <c:numRef>
              <c:f>NonUser_Reason!$B$4:$B$8</c:f>
              <c:numCache>
                <c:formatCode>General</c:formatCode>
                <c:ptCount val="4"/>
                <c:pt idx="0">
                  <c:v>1</c:v>
                </c:pt>
                <c:pt idx="1">
                  <c:v>27</c:v>
                </c:pt>
                <c:pt idx="2">
                  <c:v>13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4E-49B1-8266-F054199DDB9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0936088468393501"/>
          <c:y val="0.39220764071157771"/>
          <c:w val="0.37498353801665207"/>
          <c:h val="0.530811825605132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[UPI_Dashboard_FinalRepo.xlsx]App_Age_segment!PivotTable11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 vs Age Group (segmentation)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App_Age_segment!$B$3:$B$4</c:f>
              <c:strCache>
                <c:ptCount val="1"/>
                <c:pt idx="0">
                  <c:v>Fampay</c:v>
                </c:pt>
              </c:strCache>
            </c:strRef>
          </c:tx>
          <c:spPr>
            <a:noFill/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App_Age_segment!$A$5:$A$9</c:f>
              <c:strCache>
                <c:ptCount val="4"/>
                <c:pt idx="0">
                  <c:v>18-25</c:v>
                </c:pt>
                <c:pt idx="1">
                  <c:v>26-40</c:v>
                </c:pt>
                <c:pt idx="2">
                  <c:v>Above 40</c:v>
                </c:pt>
                <c:pt idx="3">
                  <c:v>Below 18</c:v>
                </c:pt>
              </c:strCache>
            </c:strRef>
          </c:cat>
          <c:val>
            <c:numRef>
              <c:f>App_Age_segment!$B$5:$B$9</c:f>
              <c:numCache>
                <c:formatCode>General</c:formatCode>
                <c:ptCount val="4"/>
                <c:pt idx="0">
                  <c:v>1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B1-4226-8B1B-4FB68922BBC0}"/>
            </c:ext>
          </c:extLst>
        </c:ser>
        <c:ser>
          <c:idx val="1"/>
          <c:order val="1"/>
          <c:tx>
            <c:strRef>
              <c:f>App_Age_segment!$C$3:$C$4</c:f>
              <c:strCache>
                <c:ptCount val="1"/>
                <c:pt idx="0">
                  <c:v>Google Pay</c:v>
                </c:pt>
              </c:strCache>
            </c:strRef>
          </c:tx>
          <c:spPr>
            <a:noFill/>
            <a:ln w="25400" cap="flat" cmpd="sng" algn="ctr">
              <a:solidFill>
                <a:schemeClr val="accent2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App_Age_segment!$A$5:$A$9</c:f>
              <c:strCache>
                <c:ptCount val="4"/>
                <c:pt idx="0">
                  <c:v>18-25</c:v>
                </c:pt>
                <c:pt idx="1">
                  <c:v>26-40</c:v>
                </c:pt>
                <c:pt idx="2">
                  <c:v>Above 40</c:v>
                </c:pt>
                <c:pt idx="3">
                  <c:v>Below 18</c:v>
                </c:pt>
              </c:strCache>
            </c:strRef>
          </c:cat>
          <c:val>
            <c:numRef>
              <c:f>App_Age_segment!$C$5:$C$9</c:f>
              <c:numCache>
                <c:formatCode>General</c:formatCode>
                <c:ptCount val="4"/>
                <c:pt idx="0">
                  <c:v>34</c:v>
                </c:pt>
                <c:pt idx="1">
                  <c:v>3</c:v>
                </c:pt>
                <c:pt idx="2">
                  <c:v>4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B1-4226-8B1B-4FB68922BBC0}"/>
            </c:ext>
          </c:extLst>
        </c:ser>
        <c:ser>
          <c:idx val="2"/>
          <c:order val="2"/>
          <c:tx>
            <c:strRef>
              <c:f>App_Age_segment!$D$3:$D$4</c:f>
              <c:strCache>
                <c:ptCount val="1"/>
                <c:pt idx="0">
                  <c:v>Paytm</c:v>
                </c:pt>
              </c:strCache>
            </c:strRef>
          </c:tx>
          <c:spPr>
            <a:noFill/>
            <a:ln w="25400" cap="flat" cmpd="sng" algn="ctr">
              <a:solidFill>
                <a:schemeClr val="accent3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App_Age_segment!$A$5:$A$9</c:f>
              <c:strCache>
                <c:ptCount val="4"/>
                <c:pt idx="0">
                  <c:v>18-25</c:v>
                </c:pt>
                <c:pt idx="1">
                  <c:v>26-40</c:v>
                </c:pt>
                <c:pt idx="2">
                  <c:v>Above 40</c:v>
                </c:pt>
                <c:pt idx="3">
                  <c:v>Below 18</c:v>
                </c:pt>
              </c:strCache>
            </c:strRef>
          </c:cat>
          <c:val>
            <c:numRef>
              <c:f>App_Age_segment!$D$5:$D$9</c:f>
              <c:numCache>
                <c:formatCode>General</c:formatCode>
                <c:ptCount val="4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B1-4226-8B1B-4FB68922BBC0}"/>
            </c:ext>
          </c:extLst>
        </c:ser>
        <c:ser>
          <c:idx val="3"/>
          <c:order val="3"/>
          <c:tx>
            <c:strRef>
              <c:f>App_Age_segment!$E$3:$E$4</c:f>
              <c:strCache>
                <c:ptCount val="1"/>
                <c:pt idx="0">
                  <c:v>PhonePe</c:v>
                </c:pt>
              </c:strCache>
            </c:strRef>
          </c:tx>
          <c:spPr>
            <a:noFill/>
            <a:ln w="25400" cap="flat" cmpd="sng" algn="ctr">
              <a:solidFill>
                <a:schemeClr val="accent4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App_Age_segment!$A$5:$A$9</c:f>
              <c:strCache>
                <c:ptCount val="4"/>
                <c:pt idx="0">
                  <c:v>18-25</c:v>
                </c:pt>
                <c:pt idx="1">
                  <c:v>26-40</c:v>
                </c:pt>
                <c:pt idx="2">
                  <c:v>Above 40</c:v>
                </c:pt>
                <c:pt idx="3">
                  <c:v>Below 18</c:v>
                </c:pt>
              </c:strCache>
            </c:strRef>
          </c:cat>
          <c:val>
            <c:numRef>
              <c:f>App_Age_segment!$E$5:$E$9</c:f>
              <c:numCache>
                <c:formatCode>General</c:formatCode>
                <c:ptCount val="4"/>
                <c:pt idx="0">
                  <c:v>6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9B1-4226-8B1B-4FB68922BB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35"/>
        <c:axId val="1933170912"/>
        <c:axId val="1933175904"/>
      </c:barChart>
      <c:catAx>
        <c:axId val="1933170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175904"/>
        <c:crosses val="autoZero"/>
        <c:auto val="1"/>
        <c:lblAlgn val="ctr"/>
        <c:lblOffset val="100"/>
        <c:noMultiLvlLbl val="0"/>
      </c:catAx>
      <c:valAx>
        <c:axId val="1933175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170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[UPI_Dashboard_FinalRepo.xlsx]Secur__Satisfac!PivotTable12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cap="all" spc="12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Security Perception vs Issues Faced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cap="all" spc="120" normalizeH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Secur__Satisfac!$B$3:$B$4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Secur__Satisfac!$A$5:$A$7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Secur__Satisfac!$B$5:$B$7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07-405D-875D-904E3468361F}"/>
            </c:ext>
          </c:extLst>
        </c:ser>
        <c:ser>
          <c:idx val="1"/>
          <c:order val="1"/>
          <c:tx>
            <c:strRef>
              <c:f>Secur__Satisfac!$C$3:$C$4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Secur__Satisfac!$A$5:$A$7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Secur__Satisfac!$C$5:$C$7</c:f>
              <c:numCache>
                <c:formatCode>General</c:formatCode>
                <c:ptCount val="2"/>
                <c:pt idx="0">
                  <c:v>45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07-405D-875D-904E3468361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944352080"/>
        <c:axId val="1944357072"/>
      </c:barChart>
      <c:catAx>
        <c:axId val="1944352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357072"/>
        <c:crosses val="autoZero"/>
        <c:auto val="1"/>
        <c:lblAlgn val="ctr"/>
        <c:lblOffset val="100"/>
        <c:noMultiLvlLbl val="0"/>
      </c:catAx>
      <c:valAx>
        <c:axId val="19443570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44352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[UPI_Dashboard_FinalRepo.xlsx]PurpUse_FreqUse!PivotTable13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/>
              <a:t>Purpose of Use vs Frequency of Use</a:t>
            </a:r>
            <a:endParaRPr lang="en-US"/>
          </a:p>
        </c:rich>
      </c:tx>
      <c:layout>
        <c:manualLayout>
          <c:xMode val="edge"/>
          <c:yMode val="edge"/>
          <c:x val="0.25097142857142851"/>
          <c:y val="9.15718868474773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/>
              </a:gs>
              <a:gs pos="90000">
                <a:schemeClr val="accent6">
                  <a:shade val="100000"/>
                </a:schemeClr>
              </a:gs>
              <a:gs pos="100000">
                <a:schemeClr val="accent6">
                  <a:shade val="85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/>
              </a:gs>
              <a:gs pos="90000">
                <a:schemeClr val="accent6">
                  <a:shade val="100000"/>
                </a:schemeClr>
              </a:gs>
              <a:gs pos="100000">
                <a:schemeClr val="accent6">
                  <a:shade val="85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/>
              </a:gs>
              <a:gs pos="90000">
                <a:schemeClr val="accent6">
                  <a:shade val="100000"/>
                </a:schemeClr>
              </a:gs>
              <a:gs pos="100000">
                <a:schemeClr val="accent6">
                  <a:shade val="85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PurpUse_FreqUse!$B$3:$B$4</c:f>
              <c:strCache>
                <c:ptCount val="1"/>
                <c:pt idx="0">
                  <c:v>1-2 Times</c:v>
                </c:pt>
              </c:strCache>
            </c:strRef>
          </c:tx>
          <c:spPr>
            <a:gradFill rotWithShape="1">
              <a:gsLst>
                <a:gs pos="0">
                  <a:schemeClr val="accent6"/>
                </a:gs>
                <a:gs pos="90000">
                  <a:schemeClr val="accent6">
                    <a:shade val="100000"/>
                  </a:schemeClr>
                </a:gs>
                <a:gs pos="100000">
                  <a:schemeClr val="accent6">
                    <a:shade val="85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38100" dist="254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brightRoom" dir="t"/>
            </a:scene3d>
            <a:sp3d extrusionH="12700" contourW="25400" prstMaterial="flat">
              <a:bevelT w="63500" h="152400" prst="angle"/>
              <a:contourClr>
                <a:scrgbClr r="0" g="0" b="0">
                  <a:shade val="30000"/>
                </a:scrgb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PurpUse_FreqUse!$A$5:$A$9</c:f>
              <c:strCache>
                <c:ptCount val="4"/>
                <c:pt idx="0">
                  <c:v>Bill Payments</c:v>
                </c:pt>
                <c:pt idx="1">
                  <c:v>Local grocery/Kirana Shop</c:v>
                </c:pt>
                <c:pt idx="2">
                  <c:v>Money Transfer</c:v>
                </c:pt>
                <c:pt idx="3">
                  <c:v>Online Shopping</c:v>
                </c:pt>
              </c:strCache>
            </c:strRef>
          </c:cat>
          <c:val>
            <c:numRef>
              <c:f>PurpUse_FreqUse!$B$5:$B$9</c:f>
              <c:numCache>
                <c:formatCode>General</c:formatCode>
                <c:ptCount val="4"/>
                <c:pt idx="0">
                  <c:v>3</c:v>
                </c:pt>
                <c:pt idx="1">
                  <c:v>5</c:v>
                </c:pt>
                <c:pt idx="2">
                  <c:v>3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6A-453D-9815-EA39BF7B7048}"/>
            </c:ext>
          </c:extLst>
        </c:ser>
        <c:ser>
          <c:idx val="1"/>
          <c:order val="1"/>
          <c:tx>
            <c:strRef>
              <c:f>PurpUse_FreqUse!$C$3:$C$4</c:f>
              <c:strCache>
                <c:ptCount val="1"/>
                <c:pt idx="0">
                  <c:v>3-5 Times</c:v>
                </c:pt>
              </c:strCache>
            </c:strRef>
          </c:tx>
          <c:spPr>
            <a:gradFill rotWithShape="1">
              <a:gsLst>
                <a:gs pos="0">
                  <a:schemeClr val="accent5"/>
                </a:gs>
                <a:gs pos="90000">
                  <a:schemeClr val="accent5">
                    <a:shade val="100000"/>
                  </a:schemeClr>
                </a:gs>
                <a:gs pos="100000">
                  <a:schemeClr val="accent5">
                    <a:shade val="85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38100" dist="254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brightRoom" dir="t"/>
            </a:scene3d>
            <a:sp3d extrusionH="12700" contourW="25400" prstMaterial="flat">
              <a:bevelT w="63500" h="152400" prst="angle"/>
              <a:contourClr>
                <a:scrgbClr r="0" g="0" b="0">
                  <a:shade val="30000"/>
                </a:scrgb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PurpUse_FreqUse!$A$5:$A$9</c:f>
              <c:strCache>
                <c:ptCount val="4"/>
                <c:pt idx="0">
                  <c:v>Bill Payments</c:v>
                </c:pt>
                <c:pt idx="1">
                  <c:v>Local grocery/Kirana Shop</c:v>
                </c:pt>
                <c:pt idx="2">
                  <c:v>Money Transfer</c:v>
                </c:pt>
                <c:pt idx="3">
                  <c:v>Online Shopping</c:v>
                </c:pt>
              </c:strCache>
            </c:strRef>
          </c:cat>
          <c:val>
            <c:numRef>
              <c:f>PurpUse_FreqUse!$C$5:$C$9</c:f>
              <c:numCache>
                <c:formatCode>General</c:formatCode>
                <c:ptCount val="4"/>
                <c:pt idx="0">
                  <c:v>6</c:v>
                </c:pt>
                <c:pt idx="1">
                  <c:v>4</c:v>
                </c:pt>
                <c:pt idx="2">
                  <c:v>2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6A-453D-9815-EA39BF7B7048}"/>
            </c:ext>
          </c:extLst>
        </c:ser>
        <c:ser>
          <c:idx val="2"/>
          <c:order val="2"/>
          <c:tx>
            <c:strRef>
              <c:f>PurpUse_FreqUse!$D$3:$D$4</c:f>
              <c:strCache>
                <c:ptCount val="1"/>
                <c:pt idx="0">
                  <c:v>Daily</c:v>
                </c:pt>
              </c:strCache>
            </c:strRef>
          </c:tx>
          <c:spPr>
            <a:gradFill rotWithShape="1">
              <a:gsLst>
                <a:gs pos="0">
                  <a:schemeClr val="accent4"/>
                </a:gs>
                <a:gs pos="90000">
                  <a:schemeClr val="accent4">
                    <a:shade val="100000"/>
                  </a:schemeClr>
                </a:gs>
                <a:gs pos="100000">
                  <a:schemeClr val="accent4">
                    <a:shade val="85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38100" dist="254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brightRoom" dir="t"/>
            </a:scene3d>
            <a:sp3d extrusionH="12700" contourW="25400" prstMaterial="flat">
              <a:bevelT w="63500" h="152400" prst="angle"/>
              <a:contourClr>
                <a:scrgbClr r="0" g="0" b="0">
                  <a:shade val="30000"/>
                </a:scrgb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PurpUse_FreqUse!$A$5:$A$9</c:f>
              <c:strCache>
                <c:ptCount val="4"/>
                <c:pt idx="0">
                  <c:v>Bill Payments</c:v>
                </c:pt>
                <c:pt idx="1">
                  <c:v>Local grocery/Kirana Shop</c:v>
                </c:pt>
                <c:pt idx="2">
                  <c:v>Money Transfer</c:v>
                </c:pt>
                <c:pt idx="3">
                  <c:v>Online Shopping</c:v>
                </c:pt>
              </c:strCache>
            </c:strRef>
          </c:cat>
          <c:val>
            <c:numRef>
              <c:f>PurpUse_FreqUse!$D$5:$D$9</c:f>
              <c:numCache>
                <c:formatCode>General</c:formatCode>
                <c:ptCount val="4"/>
                <c:pt idx="0">
                  <c:v>6</c:v>
                </c:pt>
                <c:pt idx="1">
                  <c:v>15</c:v>
                </c:pt>
                <c:pt idx="2">
                  <c:v>4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6A-453D-9815-EA39BF7B704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104937408"/>
        <c:axId val="2104935328"/>
      </c:barChart>
      <c:catAx>
        <c:axId val="2104937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935328"/>
        <c:crosses val="autoZero"/>
        <c:auto val="1"/>
        <c:lblAlgn val="ctr"/>
        <c:lblOffset val="100"/>
        <c:noMultiLvlLbl val="0"/>
      </c:catAx>
      <c:valAx>
        <c:axId val="2104935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937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[UPI_Dashboard_FinalRepo.xlsx]reason_notUseUPIvsAgeGroup!PivotTable14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/>
              <a:t>Reason for Not Using UPI vs Age Group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/>
              </a:gs>
              <a:gs pos="90000">
                <a:schemeClr val="accent1">
                  <a:shade val="100000"/>
                </a:schemeClr>
              </a:gs>
              <a:gs pos="100000">
                <a:schemeClr val="accent1">
                  <a:shade val="85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/>
              </a:gs>
              <a:gs pos="90000">
                <a:schemeClr val="accent1">
                  <a:shade val="100000"/>
                </a:schemeClr>
              </a:gs>
              <a:gs pos="100000">
                <a:schemeClr val="accent1">
                  <a:shade val="85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/>
              </a:gs>
              <a:gs pos="90000">
                <a:schemeClr val="accent1">
                  <a:shade val="100000"/>
                </a:schemeClr>
              </a:gs>
              <a:gs pos="100000">
                <a:schemeClr val="accent1">
                  <a:shade val="85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/>
              </a:gs>
              <a:gs pos="90000">
                <a:schemeClr val="accent1">
                  <a:shade val="100000"/>
                </a:schemeClr>
              </a:gs>
              <a:gs pos="100000">
                <a:schemeClr val="accent1">
                  <a:shade val="85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rgbClr r="0" g="0" b="0">
                <a:shade val="3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reason_notUseUPIvsAgeGroup!$B$3:$B$4</c:f>
              <c:strCache>
                <c:ptCount val="1"/>
                <c:pt idx="0">
                  <c:v>18-25</c:v>
                </c:pt>
              </c:strCache>
            </c:strRef>
          </c:tx>
          <c:spPr>
            <a:gradFill rotWithShape="1">
              <a:gsLst>
                <a:gs pos="0">
                  <a:schemeClr val="accent1"/>
                </a:gs>
                <a:gs pos="90000">
                  <a:schemeClr val="accent1">
                    <a:shade val="100000"/>
                  </a:schemeClr>
                </a:gs>
                <a:gs pos="100000">
                  <a:schemeClr val="accent1">
                    <a:shade val="85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38100" dist="254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brightRoom" dir="t"/>
            </a:scene3d>
            <a:sp3d extrusionH="12700" contourW="25400" prstMaterial="flat">
              <a:bevelT w="63500" h="152400" prst="angle"/>
              <a:contourClr>
                <a:scrgbClr r="0" g="0" b="0">
                  <a:shade val="30000"/>
                </a:scrgbClr>
              </a:contourClr>
            </a:sp3d>
          </c:spPr>
          <c:invertIfNegative val="0"/>
          <c:cat>
            <c:strRef>
              <c:f>reason_notUseUPIvsAgeGroup!$A$5:$A$9</c:f>
              <c:strCache>
                <c:ptCount val="4"/>
                <c:pt idx="0">
                  <c:v>Lack of Digital Literacy (Don't know how to use it)</c:v>
                </c:pt>
                <c:pt idx="1">
                  <c:v>Poor Internet Connectivity (Network issues)</c:v>
                </c:pt>
                <c:pt idx="2">
                  <c:v>Preference (Prefer to use cash/other methods)</c:v>
                </c:pt>
                <c:pt idx="3">
                  <c:v>Security/Fraud Concerns</c:v>
                </c:pt>
              </c:strCache>
            </c:strRef>
          </c:cat>
          <c:val>
            <c:numRef>
              <c:f>reason_notUseUPIvsAgeGroup!$B$5:$B$9</c:f>
              <c:numCache>
                <c:formatCode>General</c:formatCode>
                <c:ptCount val="4"/>
                <c:pt idx="1">
                  <c:v>19</c:v>
                </c:pt>
                <c:pt idx="2">
                  <c:v>12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D7-4DB0-B75F-A6E53C03F05F}"/>
            </c:ext>
          </c:extLst>
        </c:ser>
        <c:ser>
          <c:idx val="1"/>
          <c:order val="1"/>
          <c:tx>
            <c:strRef>
              <c:f>reason_notUseUPIvsAgeGroup!$C$3:$C$4</c:f>
              <c:strCache>
                <c:ptCount val="1"/>
                <c:pt idx="0">
                  <c:v>26-40</c:v>
                </c:pt>
              </c:strCache>
            </c:strRef>
          </c:tx>
          <c:spPr>
            <a:gradFill rotWithShape="1">
              <a:gsLst>
                <a:gs pos="0">
                  <a:schemeClr val="accent2"/>
                </a:gs>
                <a:gs pos="90000">
                  <a:schemeClr val="accent2">
                    <a:shade val="100000"/>
                  </a:schemeClr>
                </a:gs>
                <a:gs pos="100000">
                  <a:schemeClr val="accent2">
                    <a:shade val="85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38100" dist="254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brightRoom" dir="t"/>
            </a:scene3d>
            <a:sp3d extrusionH="12700" contourW="25400" prstMaterial="flat">
              <a:bevelT w="63500" h="152400" prst="angle"/>
              <a:contourClr>
                <a:scrgbClr r="0" g="0" b="0">
                  <a:shade val="30000"/>
                </a:scrgbClr>
              </a:contourClr>
            </a:sp3d>
          </c:spPr>
          <c:invertIfNegative val="0"/>
          <c:cat>
            <c:strRef>
              <c:f>reason_notUseUPIvsAgeGroup!$A$5:$A$9</c:f>
              <c:strCache>
                <c:ptCount val="4"/>
                <c:pt idx="0">
                  <c:v>Lack of Digital Literacy (Don't know how to use it)</c:v>
                </c:pt>
                <c:pt idx="1">
                  <c:v>Poor Internet Connectivity (Network issues)</c:v>
                </c:pt>
                <c:pt idx="2">
                  <c:v>Preference (Prefer to use cash/other methods)</c:v>
                </c:pt>
                <c:pt idx="3">
                  <c:v>Security/Fraud Concerns</c:v>
                </c:pt>
              </c:strCache>
            </c:strRef>
          </c:cat>
          <c:val>
            <c:numRef>
              <c:f>reason_notUseUPIvsAgeGroup!$C$5:$C$9</c:f>
              <c:numCache>
                <c:formatCode>General</c:formatCode>
                <c:ptCount val="4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D7-4DB0-B75F-A6E53C03F05F}"/>
            </c:ext>
          </c:extLst>
        </c:ser>
        <c:ser>
          <c:idx val="2"/>
          <c:order val="2"/>
          <c:tx>
            <c:strRef>
              <c:f>reason_notUseUPIvsAgeGroup!$D$3:$D$4</c:f>
              <c:strCache>
                <c:ptCount val="1"/>
                <c:pt idx="0">
                  <c:v>Above 40</c:v>
                </c:pt>
              </c:strCache>
            </c:strRef>
          </c:tx>
          <c:spPr>
            <a:gradFill rotWithShape="1">
              <a:gsLst>
                <a:gs pos="0">
                  <a:schemeClr val="accent3"/>
                </a:gs>
                <a:gs pos="90000">
                  <a:schemeClr val="accent3">
                    <a:shade val="100000"/>
                  </a:schemeClr>
                </a:gs>
                <a:gs pos="100000">
                  <a:schemeClr val="accent3">
                    <a:shade val="85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38100" dist="254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brightRoom" dir="t"/>
            </a:scene3d>
            <a:sp3d extrusionH="12700" contourW="25400" prstMaterial="flat">
              <a:bevelT w="63500" h="152400" prst="angle"/>
              <a:contourClr>
                <a:scrgbClr r="0" g="0" b="0">
                  <a:shade val="30000"/>
                </a:scrgbClr>
              </a:contourClr>
            </a:sp3d>
          </c:spPr>
          <c:invertIfNegative val="0"/>
          <c:cat>
            <c:strRef>
              <c:f>reason_notUseUPIvsAgeGroup!$A$5:$A$9</c:f>
              <c:strCache>
                <c:ptCount val="4"/>
                <c:pt idx="0">
                  <c:v>Lack of Digital Literacy (Don't know how to use it)</c:v>
                </c:pt>
                <c:pt idx="1">
                  <c:v>Poor Internet Connectivity (Network issues)</c:v>
                </c:pt>
                <c:pt idx="2">
                  <c:v>Preference (Prefer to use cash/other methods)</c:v>
                </c:pt>
                <c:pt idx="3">
                  <c:v>Security/Fraud Concerns</c:v>
                </c:pt>
              </c:strCache>
            </c:strRef>
          </c:cat>
          <c:val>
            <c:numRef>
              <c:f>reason_notUseUPIvsAgeGroup!$D$5:$D$9</c:f>
              <c:numCache>
                <c:formatCode>General</c:formatCode>
                <c:ptCount val="4"/>
                <c:pt idx="1">
                  <c:v>3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D7-4DB0-B75F-A6E53C03F05F}"/>
            </c:ext>
          </c:extLst>
        </c:ser>
        <c:ser>
          <c:idx val="3"/>
          <c:order val="3"/>
          <c:tx>
            <c:strRef>
              <c:f>reason_notUseUPIvsAgeGroup!$E$3:$E$4</c:f>
              <c:strCache>
                <c:ptCount val="1"/>
                <c:pt idx="0">
                  <c:v>Below 18</c:v>
                </c:pt>
              </c:strCache>
            </c:strRef>
          </c:tx>
          <c:spPr>
            <a:gradFill rotWithShape="1">
              <a:gsLst>
                <a:gs pos="0">
                  <a:schemeClr val="accent4"/>
                </a:gs>
                <a:gs pos="90000">
                  <a:schemeClr val="accent4">
                    <a:shade val="100000"/>
                  </a:schemeClr>
                </a:gs>
                <a:gs pos="100000">
                  <a:schemeClr val="accent4">
                    <a:shade val="85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38100" dist="254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brightRoom" dir="t"/>
            </a:scene3d>
            <a:sp3d extrusionH="12700" contourW="25400" prstMaterial="flat">
              <a:bevelT w="63500" h="152400" prst="angle"/>
              <a:contourClr>
                <a:scrgbClr r="0" g="0" b="0">
                  <a:shade val="30000"/>
                </a:scrgbClr>
              </a:contourClr>
            </a:sp3d>
          </c:spPr>
          <c:invertIfNegative val="0"/>
          <c:cat>
            <c:strRef>
              <c:f>reason_notUseUPIvsAgeGroup!$A$5:$A$9</c:f>
              <c:strCache>
                <c:ptCount val="4"/>
                <c:pt idx="0">
                  <c:v>Lack of Digital Literacy (Don't know how to use it)</c:v>
                </c:pt>
                <c:pt idx="1">
                  <c:v>Poor Internet Connectivity (Network issues)</c:v>
                </c:pt>
                <c:pt idx="2">
                  <c:v>Preference (Prefer to use cash/other methods)</c:v>
                </c:pt>
                <c:pt idx="3">
                  <c:v>Security/Fraud Concerns</c:v>
                </c:pt>
              </c:strCache>
            </c:strRef>
          </c:cat>
          <c:val>
            <c:numRef>
              <c:f>reason_notUseUPIvsAgeGroup!$E$5:$E$9</c:f>
              <c:numCache>
                <c:formatCode>General</c:formatCode>
                <c:ptCount val="4"/>
                <c:pt idx="1">
                  <c:v>2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D7-4DB0-B75F-A6E53C03F0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96640832"/>
        <c:axId val="2096642080"/>
      </c:barChart>
      <c:catAx>
        <c:axId val="2096640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642080"/>
        <c:crosses val="autoZero"/>
        <c:auto val="1"/>
        <c:lblAlgn val="ctr"/>
        <c:lblOffset val="100"/>
        <c:noMultiLvlLbl val="0"/>
      </c:catAx>
      <c:valAx>
        <c:axId val="209664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640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1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3</xdr:row>
      <xdr:rowOff>11906</xdr:rowOff>
    </xdr:from>
    <xdr:to>
      <xdr:col>4</xdr:col>
      <xdr:colOff>155864</xdr:colOff>
      <xdr:row>7</xdr:row>
      <xdr:rowOff>59530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81670FD5-CBD8-497C-8F69-082E0F1BD6E0}"/>
            </a:ext>
          </a:extLst>
        </xdr:cNvPr>
        <xdr:cNvSpPr/>
      </xdr:nvSpPr>
      <xdr:spPr>
        <a:xfrm>
          <a:off x="190500" y="999042"/>
          <a:ext cx="2389909" cy="809624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2">
          <a:schemeClr val="accent1">
            <a:shade val="50000"/>
          </a:schemeClr>
        </a:lnRef>
        <a:fillRef idx="1002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👥 Total Respondents</a:t>
          </a:r>
        </a:p>
        <a:p>
          <a:pPr algn="ctr"/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60</a:t>
          </a:r>
        </a:p>
      </xdr:txBody>
    </xdr:sp>
    <xdr:clientData/>
  </xdr:twoCellAnchor>
  <xdr:twoCellAnchor>
    <xdr:from>
      <xdr:col>5</xdr:col>
      <xdr:colOff>1</xdr:colOff>
      <xdr:row>3</xdr:row>
      <xdr:rowOff>11906</xdr:rowOff>
    </xdr:from>
    <xdr:to>
      <xdr:col>9</xdr:col>
      <xdr:colOff>86591</xdr:colOff>
      <xdr:row>7</xdr:row>
      <xdr:rowOff>59531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0104B5BE-9A43-43AD-9AAC-528A0E84065D}"/>
            </a:ext>
          </a:extLst>
        </xdr:cNvPr>
        <xdr:cNvSpPr/>
      </xdr:nvSpPr>
      <xdr:spPr>
        <a:xfrm>
          <a:off x="3030683" y="999042"/>
          <a:ext cx="2511135" cy="80962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2">
          <a:schemeClr val="accent1">
            <a:shade val="50000"/>
          </a:schemeClr>
        </a:lnRef>
        <a:fillRef idx="1002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💳</a:t>
          </a:r>
          <a:r>
            <a:rPr lang="en-US" sz="160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UPI Users %</a:t>
          </a:r>
        </a:p>
        <a:p>
          <a:pPr algn="ctr"/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95%</a:t>
          </a:r>
        </a:p>
      </xdr:txBody>
    </xdr:sp>
    <xdr:clientData/>
  </xdr:twoCellAnchor>
  <xdr:twoCellAnchor>
    <xdr:from>
      <xdr:col>9</xdr:col>
      <xdr:colOff>554183</xdr:colOff>
      <xdr:row>3</xdr:row>
      <xdr:rowOff>11905</xdr:rowOff>
    </xdr:from>
    <xdr:to>
      <xdr:col>13</xdr:col>
      <xdr:colOff>588819</xdr:colOff>
      <xdr:row>7</xdr:row>
      <xdr:rowOff>59530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4E5EB15D-13CD-47E5-8B07-03A90EF523F9}"/>
            </a:ext>
          </a:extLst>
        </xdr:cNvPr>
        <xdr:cNvSpPr/>
      </xdr:nvSpPr>
      <xdr:spPr>
        <a:xfrm>
          <a:off x="6009410" y="999041"/>
          <a:ext cx="2459182" cy="80962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2">
          <a:schemeClr val="accent1">
            <a:shade val="50000"/>
          </a:schemeClr>
        </a:lnRef>
        <a:fillRef idx="1002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⏱ Avg Weekly</a:t>
          </a:r>
          <a:r>
            <a:rPr lang="en-US" sz="160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6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Usage</a:t>
          </a:r>
        </a:p>
        <a:p>
          <a:pPr algn="ctr"/>
          <a:r>
            <a:rPr lang="en-US" sz="16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4.3</a:t>
          </a:r>
          <a:endParaRPr lang="en-US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14</xdr:col>
      <xdr:colOff>502228</xdr:colOff>
      <xdr:row>3</xdr:row>
      <xdr:rowOff>17318</xdr:rowOff>
    </xdr:from>
    <xdr:to>
      <xdr:col>19</xdr:col>
      <xdr:colOff>34636</xdr:colOff>
      <xdr:row>7</xdr:row>
      <xdr:rowOff>47623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87F4FF49-88DB-44DF-932A-C4E134F33DE4}"/>
            </a:ext>
          </a:extLst>
        </xdr:cNvPr>
        <xdr:cNvSpPr/>
      </xdr:nvSpPr>
      <xdr:spPr>
        <a:xfrm>
          <a:off x="8988137" y="1004454"/>
          <a:ext cx="2563090" cy="79230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2">
          <a:schemeClr val="accent1">
            <a:shade val="50000"/>
          </a:schemeClr>
        </a:lnRef>
        <a:fillRef idx="1002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🛡 Finding UPI Secure %</a:t>
          </a:r>
        </a:p>
        <a:p>
          <a:pPr algn="ctr"/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83%</a:t>
          </a:r>
        </a:p>
      </xdr:txBody>
    </xdr:sp>
    <xdr:clientData/>
  </xdr:twoCellAnchor>
  <xdr:twoCellAnchor>
    <xdr:from>
      <xdr:col>19</xdr:col>
      <xdr:colOff>432954</xdr:colOff>
      <xdr:row>3</xdr:row>
      <xdr:rowOff>11905</xdr:rowOff>
    </xdr:from>
    <xdr:to>
      <xdr:col>23</xdr:col>
      <xdr:colOff>0</xdr:colOff>
      <xdr:row>7</xdr:row>
      <xdr:rowOff>59530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A241CC79-2525-488C-8241-2CCADE69B7D0}"/>
            </a:ext>
          </a:extLst>
        </xdr:cNvPr>
        <xdr:cNvSpPr/>
      </xdr:nvSpPr>
      <xdr:spPr>
        <a:xfrm>
          <a:off x="11949545" y="999041"/>
          <a:ext cx="1991591" cy="809625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2">
          <a:schemeClr val="accent1">
            <a:shade val="50000"/>
          </a:schemeClr>
        </a:lnRef>
        <a:fillRef idx="1002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⚠ Face Issues %</a:t>
          </a:r>
        </a:p>
        <a:p>
          <a:pPr algn="ctr"/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17%</a:t>
          </a:r>
        </a:p>
      </xdr:txBody>
    </xdr:sp>
    <xdr:clientData/>
  </xdr:twoCellAnchor>
  <xdr:twoCellAnchor>
    <xdr:from>
      <xdr:col>30</xdr:col>
      <xdr:colOff>381000</xdr:colOff>
      <xdr:row>14</xdr:row>
      <xdr:rowOff>161192</xdr:rowOff>
    </xdr:from>
    <xdr:to>
      <xdr:col>37</xdr:col>
      <xdr:colOff>329045</xdr:colOff>
      <xdr:row>28</xdr:row>
      <xdr:rowOff>21981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CD58411-A050-494B-9F5D-09BF298551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124238</xdr:colOff>
      <xdr:row>34</xdr:row>
      <xdr:rowOff>162572</xdr:rowOff>
    </xdr:from>
    <xdr:to>
      <xdr:col>11</xdr:col>
      <xdr:colOff>190499</xdr:colOff>
      <xdr:row>48</xdr:row>
      <xdr:rowOff>66261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F2C08F1-9481-4202-8525-47D57DA6A0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76200</xdr:colOff>
      <xdr:row>14</xdr:row>
      <xdr:rowOff>161192</xdr:rowOff>
    </xdr:from>
    <xdr:to>
      <xdr:col>30</xdr:col>
      <xdr:colOff>329711</xdr:colOff>
      <xdr:row>28</xdr:row>
      <xdr:rowOff>14653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B8A2FE56-F10C-4C6A-B2F3-EFAA3EB701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76200</xdr:colOff>
      <xdr:row>1</xdr:row>
      <xdr:rowOff>4762</xdr:rowOff>
    </xdr:from>
    <xdr:to>
      <xdr:col>30</xdr:col>
      <xdr:colOff>331210</xdr:colOff>
      <xdr:row>14</xdr:row>
      <xdr:rowOff>114300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9D46DBF3-3783-43EE-965F-F5F96A913E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547050</xdr:colOff>
      <xdr:row>20</xdr:row>
      <xdr:rowOff>91686</xdr:rowOff>
    </xdr:from>
    <xdr:to>
      <xdr:col>15</xdr:col>
      <xdr:colOff>358588</xdr:colOff>
      <xdr:row>34</xdr:row>
      <xdr:rowOff>123825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53C86EC3-5674-4A51-B2FF-FE5A6605E1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294409</xdr:colOff>
      <xdr:row>34</xdr:row>
      <xdr:rowOff>165387</xdr:rowOff>
    </xdr:from>
    <xdr:to>
      <xdr:col>22</xdr:col>
      <xdr:colOff>604630</xdr:colOff>
      <xdr:row>48</xdr:row>
      <xdr:rowOff>66260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5F879D8A-218F-4E16-B06C-6F330C02E1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127339</xdr:colOff>
      <xdr:row>20</xdr:row>
      <xdr:rowOff>86591</xdr:rowOff>
    </xdr:from>
    <xdr:to>
      <xdr:col>7</xdr:col>
      <xdr:colOff>470646</xdr:colOff>
      <xdr:row>34</xdr:row>
      <xdr:rowOff>89647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2D122F84-5E90-477B-B0D0-624C3D483A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533400</xdr:colOff>
      <xdr:row>7</xdr:row>
      <xdr:rowOff>95096</xdr:rowOff>
    </xdr:from>
    <xdr:to>
      <xdr:col>15</xdr:col>
      <xdr:colOff>363631</xdr:colOff>
      <xdr:row>20</xdr:row>
      <xdr:rowOff>22411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DE0DCB12-39BC-4338-9BCB-A69EC3D07D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152400</xdr:colOff>
      <xdr:row>7</xdr:row>
      <xdr:rowOff>97847</xdr:rowOff>
    </xdr:from>
    <xdr:to>
      <xdr:col>7</xdr:col>
      <xdr:colOff>462395</xdr:colOff>
      <xdr:row>20</xdr:row>
      <xdr:rowOff>19050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6A8090AF-302E-46B4-BFD5-6F7F882C01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15</xdr:col>
      <xdr:colOff>435551</xdr:colOff>
      <xdr:row>20</xdr:row>
      <xdr:rowOff>109103</xdr:rowOff>
    </xdr:from>
    <xdr:to>
      <xdr:col>22</xdr:col>
      <xdr:colOff>600074</xdr:colOff>
      <xdr:row>34</xdr:row>
      <xdr:rowOff>123825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4C6B3A23-4328-4C54-BD07-6E145AEF1E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30</xdr:col>
      <xdr:colOff>381000</xdr:colOff>
      <xdr:row>1</xdr:row>
      <xdr:rowOff>9525</xdr:rowOff>
    </xdr:from>
    <xdr:to>
      <xdr:col>37</xdr:col>
      <xdr:colOff>323850</xdr:colOff>
      <xdr:row>14</xdr:row>
      <xdr:rowOff>114300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B5F949AD-B609-49B3-A046-20901EE887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15</xdr:col>
      <xdr:colOff>448235</xdr:colOff>
      <xdr:row>7</xdr:row>
      <xdr:rowOff>90665</xdr:rowOff>
    </xdr:from>
    <xdr:to>
      <xdr:col>22</xdr:col>
      <xdr:colOff>592894</xdr:colOff>
      <xdr:row>20</xdr:row>
      <xdr:rowOff>22412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806F2608-8362-4116-94C4-A06A2883ED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23</xdr:col>
      <xdr:colOff>78798</xdr:colOff>
      <xdr:row>28</xdr:row>
      <xdr:rowOff>51956</xdr:rowOff>
    </xdr:from>
    <xdr:to>
      <xdr:col>32</xdr:col>
      <xdr:colOff>190500</xdr:colOff>
      <xdr:row>46</xdr:row>
      <xdr:rowOff>86592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2DD00DE-C983-41BB-B0CA-652825138D24}"/>
            </a:ext>
          </a:extLst>
        </xdr:cNvPr>
        <xdr:cNvSpPr/>
      </xdr:nvSpPr>
      <xdr:spPr>
        <a:xfrm>
          <a:off x="14019934" y="5801592"/>
          <a:ext cx="5566930" cy="3463636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sz="1600" b="1">
              <a:solidFill>
                <a:schemeClr val="tx1"/>
              </a:solidFill>
            </a:rPr>
            <a:t>💡 Key Insights &amp; Observations</a:t>
          </a:r>
        </a:p>
        <a:p>
          <a:r>
            <a:rPr lang="en-US" sz="1400">
              <a:solidFill>
                <a:schemeClr val="tx1"/>
              </a:solidFill>
            </a:rPr>
            <a:t>💠 </a:t>
          </a:r>
          <a:r>
            <a:rPr lang="en-US" sz="1400" b="1">
              <a:solidFill>
                <a:schemeClr val="tx1"/>
              </a:solidFill>
            </a:rPr>
            <a:t>UPI Adoption:</a:t>
          </a:r>
          <a:br>
            <a:rPr lang="en-US" sz="1200">
              <a:solidFill>
                <a:schemeClr val="tx1"/>
              </a:solidFill>
            </a:rPr>
          </a:br>
          <a:r>
            <a:rPr lang="en-US" sz="1200">
              <a:solidFill>
                <a:schemeClr val="tx1"/>
              </a:solidFill>
            </a:rPr>
            <a:t>Over </a:t>
          </a:r>
          <a:r>
            <a:rPr lang="en-US" sz="1200" b="1">
              <a:solidFill>
                <a:schemeClr val="tx1"/>
              </a:solidFill>
            </a:rPr>
            <a:t>85%</a:t>
          </a:r>
          <a:r>
            <a:rPr lang="en-US" sz="1200">
              <a:solidFill>
                <a:schemeClr val="tx1"/>
              </a:solidFill>
            </a:rPr>
            <a:t> of respondents use UPI regularly — showing strong digital trust and adoption.</a:t>
          </a:r>
        </a:p>
        <a:p>
          <a:r>
            <a:rPr lang="en-US" sz="1400">
              <a:solidFill>
                <a:schemeClr val="tx1"/>
              </a:solidFill>
            </a:rPr>
            <a:t>💳 </a:t>
          </a:r>
          <a:r>
            <a:rPr lang="en-US" sz="1400" b="1">
              <a:solidFill>
                <a:schemeClr val="tx1"/>
              </a:solidFill>
            </a:rPr>
            <a:t>App Leadership:</a:t>
          </a:r>
          <a:br>
            <a:rPr lang="en-US" sz="1400">
              <a:solidFill>
                <a:schemeClr val="tx1"/>
              </a:solidFill>
            </a:rPr>
          </a:br>
          <a:r>
            <a:rPr lang="en-US" sz="1200" b="1">
              <a:solidFill>
                <a:schemeClr val="tx1"/>
              </a:solidFill>
            </a:rPr>
            <a:t>Google Pay (52%)</a:t>
          </a:r>
          <a:r>
            <a:rPr lang="en-US" sz="1200">
              <a:solidFill>
                <a:schemeClr val="tx1"/>
              </a:solidFill>
            </a:rPr>
            <a:t>, </a:t>
          </a:r>
          <a:r>
            <a:rPr lang="en-US" sz="1200" b="1">
              <a:solidFill>
                <a:schemeClr val="tx1"/>
              </a:solidFill>
            </a:rPr>
            <a:t>PhonePe (32%)</a:t>
          </a:r>
          <a:r>
            <a:rPr lang="en-US" sz="1200">
              <a:solidFill>
                <a:schemeClr val="tx1"/>
              </a:solidFill>
            </a:rPr>
            <a:t>, and </a:t>
          </a:r>
          <a:r>
            <a:rPr lang="en-US" sz="1200" b="1">
              <a:solidFill>
                <a:schemeClr val="tx1"/>
              </a:solidFill>
            </a:rPr>
            <a:t>Paytm (13%)</a:t>
          </a:r>
          <a:r>
            <a:rPr lang="en-US" sz="1200">
              <a:solidFill>
                <a:schemeClr val="tx1"/>
              </a:solidFill>
            </a:rPr>
            <a:t> lead the market.</a:t>
          </a:r>
        </a:p>
        <a:p>
          <a:r>
            <a:rPr lang="en-US" sz="1400">
              <a:solidFill>
                <a:schemeClr val="tx1"/>
              </a:solidFill>
            </a:rPr>
            <a:t>⚡ </a:t>
          </a:r>
          <a:r>
            <a:rPr lang="en-US" sz="1400" b="1">
              <a:solidFill>
                <a:schemeClr val="tx1"/>
              </a:solidFill>
            </a:rPr>
            <a:t>Top Benefit:</a:t>
          </a:r>
          <a:br>
            <a:rPr lang="en-US" sz="1400">
              <a:solidFill>
                <a:schemeClr val="tx1"/>
              </a:solidFill>
            </a:rPr>
          </a:br>
          <a:r>
            <a:rPr lang="en-US" sz="1200" b="1">
              <a:solidFill>
                <a:schemeClr val="tx1"/>
              </a:solidFill>
            </a:rPr>
            <a:t>67%</a:t>
          </a:r>
          <a:r>
            <a:rPr lang="en-US" sz="1200">
              <a:solidFill>
                <a:schemeClr val="tx1"/>
              </a:solidFill>
            </a:rPr>
            <a:t> of users prefer UPI for its </a:t>
          </a:r>
          <a:r>
            <a:rPr lang="en-US" sz="1200" b="1">
              <a:solidFill>
                <a:schemeClr val="tx1"/>
              </a:solidFill>
            </a:rPr>
            <a:t>instant and easy</a:t>
          </a:r>
          <a:r>
            <a:rPr lang="en-US" sz="1200">
              <a:solidFill>
                <a:schemeClr val="tx1"/>
              </a:solidFill>
            </a:rPr>
            <a:t> transactions.</a:t>
          </a:r>
        </a:p>
        <a:p>
          <a:r>
            <a:rPr lang="en-US" sz="1400">
              <a:solidFill>
                <a:schemeClr val="tx1"/>
              </a:solidFill>
            </a:rPr>
            <a:t>🔐 </a:t>
          </a:r>
          <a:r>
            <a:rPr lang="en-US" sz="1400" b="1">
              <a:solidFill>
                <a:schemeClr val="tx1"/>
              </a:solidFill>
            </a:rPr>
            <a:t>Security Concern:</a:t>
          </a:r>
          <a:br>
            <a:rPr lang="en-US" sz="1200">
              <a:solidFill>
                <a:schemeClr val="tx1"/>
              </a:solidFill>
            </a:rPr>
          </a:br>
          <a:r>
            <a:rPr lang="en-US" sz="1200">
              <a:solidFill>
                <a:schemeClr val="tx1"/>
              </a:solidFill>
            </a:rPr>
            <a:t>Around </a:t>
          </a:r>
          <a:r>
            <a:rPr lang="en-US" sz="1200" b="1">
              <a:solidFill>
                <a:schemeClr val="tx1"/>
              </a:solidFill>
            </a:rPr>
            <a:t>25%</a:t>
          </a:r>
          <a:r>
            <a:rPr lang="en-US" sz="1200">
              <a:solidFill>
                <a:schemeClr val="tx1"/>
              </a:solidFill>
            </a:rPr>
            <a:t> of non-users avoid UPI due to </a:t>
          </a:r>
          <a:r>
            <a:rPr lang="en-US" sz="1200" b="1">
              <a:solidFill>
                <a:schemeClr val="tx1"/>
              </a:solidFill>
            </a:rPr>
            <a:t>privacy and security</a:t>
          </a:r>
          <a:r>
            <a:rPr lang="en-US" sz="1200">
              <a:solidFill>
                <a:schemeClr val="tx1"/>
              </a:solidFill>
            </a:rPr>
            <a:t> fears.</a:t>
          </a:r>
        </a:p>
        <a:p>
          <a:r>
            <a:rPr lang="en-US" sz="1400">
              <a:solidFill>
                <a:schemeClr val="tx1"/>
              </a:solidFill>
            </a:rPr>
            <a:t>👥 </a:t>
          </a:r>
          <a:r>
            <a:rPr lang="en-US" sz="1400" b="1">
              <a:solidFill>
                <a:schemeClr val="tx1"/>
              </a:solidFill>
            </a:rPr>
            <a:t>Youth-Driven Usage:</a:t>
          </a:r>
          <a:br>
            <a:rPr lang="en-US" sz="1400">
              <a:solidFill>
                <a:schemeClr val="tx1"/>
              </a:solidFill>
            </a:rPr>
          </a:br>
          <a:r>
            <a:rPr lang="en-US" sz="1200">
              <a:solidFill>
                <a:schemeClr val="tx1"/>
              </a:solidFill>
            </a:rPr>
            <a:t>The </a:t>
          </a:r>
          <a:r>
            <a:rPr lang="en-US" sz="1200" b="1">
              <a:solidFill>
                <a:schemeClr val="tx1"/>
              </a:solidFill>
            </a:rPr>
            <a:t>18–25 age group (72%)</a:t>
          </a:r>
          <a:r>
            <a:rPr lang="en-US" sz="1200">
              <a:solidFill>
                <a:schemeClr val="tx1"/>
              </a:solidFill>
            </a:rPr>
            <a:t> drives most UPI transactions.</a:t>
          </a:r>
        </a:p>
        <a:p>
          <a:r>
            <a:rPr lang="en-US" sz="1400">
              <a:solidFill>
                <a:schemeClr val="tx1"/>
              </a:solidFill>
            </a:rPr>
            <a:t>⭐ </a:t>
          </a:r>
          <a:r>
            <a:rPr lang="en-US" sz="1400" b="1">
              <a:solidFill>
                <a:schemeClr val="tx1"/>
              </a:solidFill>
            </a:rPr>
            <a:t>Satisfaction &amp; Trust:</a:t>
          </a:r>
          <a:br>
            <a:rPr lang="en-US" sz="1400">
              <a:solidFill>
                <a:schemeClr val="tx1"/>
              </a:solidFill>
            </a:rPr>
          </a:br>
          <a:r>
            <a:rPr lang="en-US" sz="1200" b="1">
              <a:solidFill>
                <a:schemeClr val="tx1"/>
              </a:solidFill>
            </a:rPr>
            <a:t>74%</a:t>
          </a:r>
          <a:r>
            <a:rPr lang="en-US" sz="1200">
              <a:solidFill>
                <a:schemeClr val="tx1"/>
              </a:solidFill>
            </a:rPr>
            <a:t> of users are satisfied, and </a:t>
          </a:r>
          <a:r>
            <a:rPr lang="en-US" sz="1200" b="1">
              <a:solidFill>
                <a:schemeClr val="tx1"/>
              </a:solidFill>
            </a:rPr>
            <a:t>68%</a:t>
          </a:r>
          <a:r>
            <a:rPr lang="en-US" sz="1200">
              <a:solidFill>
                <a:schemeClr val="tx1"/>
              </a:solidFill>
            </a:rPr>
            <a:t> find UPI </a:t>
          </a:r>
          <a:r>
            <a:rPr lang="en-US" sz="1200" b="1">
              <a:solidFill>
                <a:schemeClr val="tx1"/>
              </a:solidFill>
            </a:rPr>
            <a:t>safe and reliable</a:t>
          </a:r>
          <a:r>
            <a:rPr lang="en-US" sz="1200">
              <a:solidFill>
                <a:schemeClr val="tx1"/>
              </a:solidFill>
            </a:rPr>
            <a:t>.</a:t>
          </a:r>
        </a:p>
      </xdr:txBody>
    </xdr:sp>
    <xdr:clientData/>
  </xdr:twoCellAnchor>
  <xdr:twoCellAnchor>
    <xdr:from>
      <xdr:col>32</xdr:col>
      <xdr:colOff>259772</xdr:colOff>
      <xdr:row>28</xdr:row>
      <xdr:rowOff>69274</xdr:rowOff>
    </xdr:from>
    <xdr:to>
      <xdr:col>37</xdr:col>
      <xdr:colOff>311728</xdr:colOff>
      <xdr:row>46</xdr:row>
      <xdr:rowOff>103910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955A8D2-1514-4E10-979A-806534E7F1BB}"/>
            </a:ext>
          </a:extLst>
        </xdr:cNvPr>
        <xdr:cNvSpPr/>
      </xdr:nvSpPr>
      <xdr:spPr>
        <a:xfrm>
          <a:off x="19656136" y="5818910"/>
          <a:ext cx="3082637" cy="3463636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sz="1400" b="1">
              <a:solidFill>
                <a:schemeClr val="tx1"/>
              </a:solidFill>
            </a:rPr>
            <a:t>💼 Recommendations</a:t>
          </a:r>
        </a:p>
        <a:p>
          <a:r>
            <a:rPr lang="en-US" sz="1300">
              <a:solidFill>
                <a:schemeClr val="tx1"/>
              </a:solidFill>
            </a:rPr>
            <a:t>✅ </a:t>
          </a:r>
          <a:r>
            <a:rPr lang="en-US" sz="1300" b="1">
              <a:solidFill>
                <a:schemeClr val="tx1"/>
              </a:solidFill>
            </a:rPr>
            <a:t>1. Expand Awareness:</a:t>
          </a:r>
          <a:r>
            <a:rPr lang="en-US" sz="1300">
              <a:solidFill>
                <a:schemeClr val="tx1"/>
              </a:solidFill>
            </a:rPr>
            <a:t> Educate non-users and older groups about UPI’s safety and ease.</a:t>
          </a:r>
          <a:br>
            <a:rPr lang="en-US" sz="1300">
              <a:solidFill>
                <a:schemeClr val="tx1"/>
              </a:solidFill>
            </a:rPr>
          </a:br>
          <a:r>
            <a:rPr lang="en-US" sz="1300">
              <a:solidFill>
                <a:schemeClr val="tx1"/>
              </a:solidFill>
            </a:rPr>
            <a:t>✅ </a:t>
          </a:r>
          <a:r>
            <a:rPr lang="en-US" sz="1300" b="1">
              <a:solidFill>
                <a:schemeClr val="tx1"/>
              </a:solidFill>
            </a:rPr>
            <a:t>2. Strengthen Trust:</a:t>
          </a:r>
          <a:r>
            <a:rPr lang="en-US" sz="1300">
              <a:solidFill>
                <a:schemeClr val="tx1"/>
              </a:solidFill>
            </a:rPr>
            <a:t> Highlight encryption, fraud protection, and secure authentication.</a:t>
          </a:r>
          <a:br>
            <a:rPr lang="en-US" sz="1300">
              <a:solidFill>
                <a:schemeClr val="tx1"/>
              </a:solidFill>
            </a:rPr>
          </a:br>
          <a:r>
            <a:rPr lang="en-US" sz="1300">
              <a:solidFill>
                <a:schemeClr val="tx1"/>
              </a:solidFill>
            </a:rPr>
            <a:t>✅ </a:t>
          </a:r>
          <a:r>
            <a:rPr lang="en-US" sz="1300" b="1">
              <a:solidFill>
                <a:schemeClr val="tx1"/>
              </a:solidFill>
            </a:rPr>
            <a:t>3. Enhance User Experience:</a:t>
          </a:r>
          <a:r>
            <a:rPr lang="en-US" sz="1300">
              <a:solidFill>
                <a:schemeClr val="tx1"/>
              </a:solidFill>
            </a:rPr>
            <a:t> Improve app performance and resolve failed-transaction issues.</a:t>
          </a:r>
          <a:br>
            <a:rPr lang="en-US" sz="1300">
              <a:solidFill>
                <a:schemeClr val="tx1"/>
              </a:solidFill>
            </a:rPr>
          </a:br>
          <a:r>
            <a:rPr lang="en-US" sz="1300">
              <a:solidFill>
                <a:schemeClr val="tx1"/>
              </a:solidFill>
            </a:rPr>
            <a:t>✅ </a:t>
          </a:r>
          <a:r>
            <a:rPr lang="en-US" sz="1300" b="1">
              <a:solidFill>
                <a:schemeClr val="tx1"/>
              </a:solidFill>
            </a:rPr>
            <a:t>4. Empower Youth:</a:t>
          </a:r>
          <a:r>
            <a:rPr lang="en-US" sz="1300">
              <a:solidFill>
                <a:schemeClr val="tx1"/>
              </a:solidFill>
            </a:rPr>
            <a:t> Introduce cashback or student-friendly campaigns to sustain engagement.</a:t>
          </a:r>
          <a:br>
            <a:rPr lang="en-US" sz="1300">
              <a:solidFill>
                <a:schemeClr val="tx1"/>
              </a:solidFill>
            </a:rPr>
          </a:br>
          <a:r>
            <a:rPr lang="en-US" sz="1300">
              <a:solidFill>
                <a:schemeClr val="tx1"/>
              </a:solidFill>
            </a:rPr>
            <a:t>✅ </a:t>
          </a:r>
          <a:r>
            <a:rPr lang="en-US" sz="1300" b="1">
              <a:solidFill>
                <a:schemeClr val="tx1"/>
              </a:solidFill>
            </a:rPr>
            <a:t>5. Drive Innovation:</a:t>
          </a:r>
          <a:r>
            <a:rPr lang="en-US" sz="1300">
              <a:solidFill>
                <a:schemeClr val="tx1"/>
              </a:solidFill>
            </a:rPr>
            <a:t> Encourage competition and new UPI-based digital solutions.</a:t>
          </a:r>
        </a:p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171450</xdr:colOff>
      <xdr:row>0</xdr:row>
      <xdr:rowOff>61912</xdr:rowOff>
    </xdr:from>
    <xdr:to>
      <xdr:col>10</xdr:col>
      <xdr:colOff>476250</xdr:colOff>
      <xdr:row>14</xdr:row>
      <xdr:rowOff>138112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EABD3A7-3BF6-4A61-AB2E-E9F9518675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42862</xdr:colOff>
      <xdr:row>0</xdr:row>
      <xdr:rowOff>14287</xdr:rowOff>
    </xdr:from>
    <xdr:to>
      <xdr:col>10</xdr:col>
      <xdr:colOff>347662</xdr:colOff>
      <xdr:row>14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248249-5BC5-45CA-93B2-4CB090ECFC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0</xdr:row>
      <xdr:rowOff>0</xdr:rowOff>
    </xdr:from>
    <xdr:to>
      <xdr:col>10</xdr:col>
      <xdr:colOff>76200</xdr:colOff>
      <xdr:row>14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87A6DA-14FA-4396-903A-9936D1FE20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314325</xdr:colOff>
      <xdr:row>0</xdr:row>
      <xdr:rowOff>128587</xdr:rowOff>
    </xdr:from>
    <xdr:to>
      <xdr:col>11</xdr:col>
      <xdr:colOff>9525</xdr:colOff>
      <xdr:row>15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B6F11D-C7AC-4FDD-BB0F-9F6E14EA9E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280987</xdr:colOff>
      <xdr:row>0</xdr:row>
      <xdr:rowOff>166687</xdr:rowOff>
    </xdr:from>
    <xdr:to>
      <xdr:col>10</xdr:col>
      <xdr:colOff>585787</xdr:colOff>
      <xdr:row>15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DBC7CC-7CEA-43B4-99B0-68C455D7CF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1</xdr:row>
      <xdr:rowOff>109537</xdr:rowOff>
    </xdr:from>
    <xdr:to>
      <xdr:col>10</xdr:col>
      <xdr:colOff>523875</xdr:colOff>
      <xdr:row>15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5AB53D-2CBA-4E80-A527-2A65A8C795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166687</xdr:colOff>
      <xdr:row>1</xdr:row>
      <xdr:rowOff>100012</xdr:rowOff>
    </xdr:from>
    <xdr:to>
      <xdr:col>12</xdr:col>
      <xdr:colOff>114300</xdr:colOff>
      <xdr:row>14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ED374E-2D0E-4E1A-ABE4-15EFA5C513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200024</xdr:colOff>
      <xdr:row>1</xdr:row>
      <xdr:rowOff>71437</xdr:rowOff>
    </xdr:from>
    <xdr:to>
      <xdr:col>10</xdr:col>
      <xdr:colOff>190499</xdr:colOff>
      <xdr:row>15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39455D0-9BD5-4B2B-B0CE-FAC77B4CAF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161925</xdr:colOff>
      <xdr:row>2</xdr:row>
      <xdr:rowOff>33337</xdr:rowOff>
    </xdr:from>
    <xdr:to>
      <xdr:col>13</xdr:col>
      <xdr:colOff>466725</xdr:colOff>
      <xdr:row>16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EFCCFD-4FA9-4A1B-B0C9-D4EEDB0B1A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400050</xdr:colOff>
      <xdr:row>1</xdr:row>
      <xdr:rowOff>185737</xdr:rowOff>
    </xdr:from>
    <xdr:to>
      <xdr:col>12</xdr:col>
      <xdr:colOff>95250</xdr:colOff>
      <xdr:row>16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EA1189-BE3E-4A17-9050-D88181A476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352424</xdr:colOff>
      <xdr:row>1</xdr:row>
      <xdr:rowOff>176212</xdr:rowOff>
    </xdr:from>
    <xdr:to>
      <xdr:col>13</xdr:col>
      <xdr:colOff>476249</xdr:colOff>
      <xdr:row>16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213BCC-D38A-4598-A6EF-B07DCE16F9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1</xdr:row>
      <xdr:rowOff>109537</xdr:rowOff>
    </xdr:from>
    <xdr:to>
      <xdr:col>13</xdr:col>
      <xdr:colOff>495300</xdr:colOff>
      <xdr:row>15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FD0B43-02B8-4800-AD0A-9C48472763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" refreshedDate="45957.786947106484" createdVersion="7" refreshedVersion="7" minRefreshableVersion="3" recordCount="60" xr:uid="{75BD3BE6-30E2-4801-AFB6-2C1A2B28C77E}">
  <cacheSource type="worksheet">
    <worksheetSource name="tbl_UPI"/>
  </cacheSource>
  <cacheFields count="16">
    <cacheField name="Respondent_ID" numFmtId="0">
      <sharedItems containsSemiMixedTypes="0" containsString="0" containsNumber="1" containsInteger="1" minValue="1" maxValue="60"/>
    </cacheField>
    <cacheField name="Timestamp" numFmtId="22">
      <sharedItems containsSemiMixedTypes="0" containsNonDate="0" containsDate="1" containsString="0" minDate="2025-10-25T19:07:30" maxDate="2025-10-26T15:17:46"/>
    </cacheField>
    <cacheField name="Name" numFmtId="0">
      <sharedItems/>
    </cacheField>
    <cacheField name="Email" numFmtId="0">
      <sharedItems/>
    </cacheField>
    <cacheField name="Age_Group" numFmtId="0">
      <sharedItems count="4">
        <s v="18-25"/>
        <s v="Below 18"/>
        <s v="Above 40"/>
        <s v="26-40"/>
      </sharedItems>
    </cacheField>
    <cacheField name="Uses_UPI" numFmtId="0">
      <sharedItems count="2">
        <s v="Yes"/>
        <s v="No"/>
      </sharedItems>
    </cacheField>
    <cacheField name="Primary_App" numFmtId="0">
      <sharedItems count="4">
        <s v="Google Pay"/>
        <s v="PhonePe"/>
        <s v="Fampay"/>
        <s v="Paytm"/>
      </sharedItems>
    </cacheField>
    <cacheField name="Freq_per_week" numFmtId="0">
      <sharedItems count="3">
        <s v="3-5 Times"/>
        <s v="Daily"/>
        <s v="1-2 Times"/>
      </sharedItems>
    </cacheField>
    <cacheField name="Freq_Clean" numFmtId="0">
      <sharedItems/>
    </cacheField>
    <cacheField name="Purpose_Main" numFmtId="0">
      <sharedItems count="4">
        <s v="Online Shopping"/>
        <s v="Money Transfer"/>
        <s v="Bill Payments"/>
        <s v="Local grocery/Kirana Shop"/>
      </sharedItems>
    </cacheField>
    <cacheField name="Issues_Flag" numFmtId="0">
      <sharedItems count="2">
        <s v="No"/>
        <s v="Yes"/>
      </sharedItems>
    </cacheField>
    <cacheField name="Perceive_Secure" numFmtId="0">
      <sharedItems count="2">
        <s v="Yes"/>
        <s v="No"/>
      </sharedItems>
    </cacheField>
    <cacheField name="Perceive_Benefit" numFmtId="0">
      <sharedItems count="2">
        <s v="Yes"/>
        <s v="No"/>
      </sharedItems>
    </cacheField>
    <cacheField name="Primary_Reasons" numFmtId="0">
      <sharedItems count="5">
        <s v="Speed (Instant payment settlement)"/>
        <s v="All of the above"/>
        <s v="Convenience  (No need to carry cash)"/>
        <s v="Government Promotion/Initiatives"/>
        <s v="Merchant/Shopkeeper Demand (Acceptance everywhere)"/>
      </sharedItems>
    </cacheField>
    <cacheField name="NonUser_Reason" numFmtId="0">
      <sharedItems count="4">
        <s v="Poor Internet Connectivity (Network issues)"/>
        <s v="Preference (Prefer to use cash/other methods)"/>
        <s v="Security/Fraud Concerns"/>
        <s v="Lack of Digital Literacy (Don't know how to use it)"/>
      </sharedItems>
    </cacheField>
    <cacheField name="Extra_featur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n v="1"/>
    <d v="2025-10-25T19:07:30"/>
    <s v="Pradnya Ughade "/>
    <s v="N A"/>
    <x v="0"/>
    <x v="0"/>
    <x v="0"/>
    <x v="0"/>
    <s v="3-5 Times"/>
    <x v="0"/>
    <x v="0"/>
    <x v="0"/>
    <x v="0"/>
    <x v="0"/>
    <x v="0"/>
    <s v="Nothing"/>
  </r>
  <r>
    <n v="2"/>
    <d v="2025-10-25T19:08:49"/>
    <s v="Rehan Khan "/>
    <s v="khan2233rehan@gmail.com"/>
    <x v="0"/>
    <x v="0"/>
    <x v="1"/>
    <x v="0"/>
    <s v="3-5 Times"/>
    <x v="1"/>
    <x v="0"/>
    <x v="0"/>
    <x v="0"/>
    <x v="1"/>
    <x v="1"/>
    <s v="Nothing"/>
  </r>
  <r>
    <n v="3"/>
    <d v="2025-10-25T19:16:24"/>
    <s v="sonali"/>
    <s v="sonalimakwana02@gmail.com"/>
    <x v="0"/>
    <x v="0"/>
    <x v="0"/>
    <x v="1"/>
    <s v="Daily"/>
    <x v="0"/>
    <x v="0"/>
    <x v="0"/>
    <x v="0"/>
    <x v="1"/>
    <x v="0"/>
    <s v="Tap-to-Pay via NFC (Offline Mode)_x000a__x000a_Enable UPI Lite + NFC — users can just tap phones together for instant offline payments (ideal for poor internet zones)."/>
  </r>
  <r>
    <n v="4"/>
    <d v="2025-10-25T19:19:04"/>
    <s v="Sujal kamble"/>
    <s v="N A"/>
    <x v="0"/>
    <x v="0"/>
    <x v="0"/>
    <x v="2"/>
    <s v="1-2 Times"/>
    <x v="2"/>
    <x v="0"/>
    <x v="1"/>
    <x v="0"/>
    <x v="0"/>
    <x v="0"/>
    <s v="Nothing"/>
  </r>
  <r>
    <n v="5"/>
    <d v="2025-10-25T19:20:23"/>
    <s v="Pratik Khaire"/>
    <s v="pratikdk09@gmail.com"/>
    <x v="0"/>
    <x v="0"/>
    <x v="2"/>
    <x v="0"/>
    <s v="3-5 Times"/>
    <x v="3"/>
    <x v="0"/>
    <x v="0"/>
    <x v="0"/>
    <x v="0"/>
    <x v="2"/>
    <s v="Nothing"/>
  </r>
  <r>
    <n v="6"/>
    <d v="2025-10-25T19:20:28"/>
    <s v="Soham Morye"/>
    <s v="moryesoham4@gmail.com"/>
    <x v="0"/>
    <x v="0"/>
    <x v="0"/>
    <x v="0"/>
    <s v="3-5 Times"/>
    <x v="0"/>
    <x v="0"/>
    <x v="0"/>
    <x v="0"/>
    <x v="1"/>
    <x v="0"/>
    <s v="Nothing"/>
  </r>
  <r>
    <n v="7"/>
    <d v="2025-10-25T19:23:28"/>
    <s v="Grishma patil"/>
    <s v="Grishmapatil176@gmail.com"/>
    <x v="0"/>
    <x v="0"/>
    <x v="0"/>
    <x v="2"/>
    <s v="1-2 Times"/>
    <x v="2"/>
    <x v="1"/>
    <x v="1"/>
    <x v="0"/>
    <x v="2"/>
    <x v="1"/>
    <s v="Nothing"/>
  </r>
  <r>
    <n v="8"/>
    <d v="2025-10-25T19:24:26"/>
    <s v="Sumant "/>
    <s v="ssumantsharma17@gmail.com"/>
    <x v="0"/>
    <x v="0"/>
    <x v="0"/>
    <x v="1"/>
    <s v="Daily"/>
    <x v="2"/>
    <x v="0"/>
    <x v="0"/>
    <x v="0"/>
    <x v="1"/>
    <x v="0"/>
    <s v="Yup, although it is good but something it just doesn't work when mostly needed. So, I would say add something like wallet for offline transactions"/>
  </r>
  <r>
    <n v="9"/>
    <d v="2025-10-25T19:24:31"/>
    <s v="Krish Pajne"/>
    <s v="krishpajne08@gmail.com"/>
    <x v="0"/>
    <x v="0"/>
    <x v="3"/>
    <x v="1"/>
    <s v="Daily"/>
    <x v="3"/>
    <x v="0"/>
    <x v="0"/>
    <x v="0"/>
    <x v="1"/>
    <x v="0"/>
    <s v="To save money daily. Like a wallet which will auto pay certain amount daily."/>
  </r>
  <r>
    <n v="10"/>
    <d v="2025-10-25T19:25:59"/>
    <s v="Saniya gautam jadhav"/>
    <s v="Ssaniyajadhav03@gmail.com"/>
    <x v="1"/>
    <x v="0"/>
    <x v="1"/>
    <x v="2"/>
    <s v="1-2 Times"/>
    <x v="0"/>
    <x v="1"/>
    <x v="0"/>
    <x v="1"/>
    <x v="3"/>
    <x v="2"/>
    <s v="Nothing"/>
  </r>
  <r>
    <n v="11"/>
    <d v="2025-10-25T19:28:47"/>
    <s v="Vaibhavi patil "/>
    <s v="vaibhaviipatil1903@gmail.com"/>
    <x v="0"/>
    <x v="0"/>
    <x v="0"/>
    <x v="1"/>
    <s v="Daily"/>
    <x v="3"/>
    <x v="0"/>
    <x v="0"/>
    <x v="0"/>
    <x v="1"/>
    <x v="1"/>
    <s v="Offline payment for poor connection "/>
  </r>
  <r>
    <n v="12"/>
    <d v="2025-10-25T19:32:57"/>
    <s v="Archa "/>
    <s v="archanair632@gmail.com"/>
    <x v="0"/>
    <x v="0"/>
    <x v="1"/>
    <x v="1"/>
    <s v="Daily"/>
    <x v="0"/>
    <x v="0"/>
    <x v="0"/>
    <x v="0"/>
    <x v="2"/>
    <x v="0"/>
    <s v="No network payment "/>
  </r>
  <r>
    <n v="13"/>
    <d v="2025-10-25T19:34:54"/>
    <s v="Urvi Morye"/>
    <s v="urvimorye2610@gmail.com"/>
    <x v="2"/>
    <x v="0"/>
    <x v="0"/>
    <x v="1"/>
    <s v="Daily"/>
    <x v="3"/>
    <x v="0"/>
    <x v="0"/>
    <x v="0"/>
    <x v="1"/>
    <x v="0"/>
    <s v="Nothing"/>
  </r>
  <r>
    <n v="14"/>
    <d v="2025-10-25T19:40:24"/>
    <s v="Gauri Hiraman Dhotre "/>
    <s v="sandhya1dhotre@gmail.com"/>
    <x v="0"/>
    <x v="0"/>
    <x v="0"/>
    <x v="2"/>
    <s v="1-2 Times"/>
    <x v="3"/>
    <x v="0"/>
    <x v="0"/>
    <x v="0"/>
    <x v="0"/>
    <x v="0"/>
    <s v="Nothing"/>
  </r>
  <r>
    <n v="15"/>
    <d v="2025-10-25T19:53:37"/>
    <s v="Khushal arun satve "/>
    <s v="khushalsatve@gmail.com"/>
    <x v="1"/>
    <x v="0"/>
    <x v="2"/>
    <x v="0"/>
    <s v="3-5 Times"/>
    <x v="3"/>
    <x v="0"/>
    <x v="0"/>
    <x v="0"/>
    <x v="1"/>
    <x v="0"/>
    <s v="Nothing"/>
  </r>
  <r>
    <n v="16"/>
    <d v="2025-10-25T19:54:23"/>
    <s v="Binod "/>
    <s v="atharvakhadye783@gmail.com"/>
    <x v="1"/>
    <x v="1"/>
    <x v="2"/>
    <x v="2"/>
    <s v="1-2 Times"/>
    <x v="1"/>
    <x v="0"/>
    <x v="1"/>
    <x v="1"/>
    <x v="1"/>
    <x v="2"/>
    <s v="Nothing"/>
  </r>
  <r>
    <n v="17"/>
    <d v="2025-10-25T20:02:13"/>
    <s v="khushi mishra"/>
    <s v="khushimishra221503@gmail.com"/>
    <x v="0"/>
    <x v="0"/>
    <x v="0"/>
    <x v="0"/>
    <s v="3-5 Times"/>
    <x v="3"/>
    <x v="0"/>
    <x v="0"/>
    <x v="0"/>
    <x v="2"/>
    <x v="0"/>
    <s v="Nothing"/>
  </r>
  <r>
    <n v="18"/>
    <d v="2025-10-25T20:04:44"/>
    <s v="Prabha Ughdade"/>
    <s v="N A"/>
    <x v="2"/>
    <x v="0"/>
    <x v="0"/>
    <x v="0"/>
    <s v="3-5 Times"/>
    <x v="2"/>
    <x v="0"/>
    <x v="0"/>
    <x v="0"/>
    <x v="0"/>
    <x v="0"/>
    <s v="Nothing"/>
  </r>
  <r>
    <n v="19"/>
    <d v="2025-10-25T20:06:39"/>
    <s v="Shreyas "/>
    <s v="Shreyaspalav@12gmail.com"/>
    <x v="0"/>
    <x v="0"/>
    <x v="0"/>
    <x v="1"/>
    <s v="Daily"/>
    <x v="1"/>
    <x v="0"/>
    <x v="0"/>
    <x v="0"/>
    <x v="3"/>
    <x v="2"/>
    <s v="Nothing"/>
  </r>
  <r>
    <n v="20"/>
    <d v="2025-10-25T20:06:42"/>
    <s v="Khan Owais "/>
    <s v="ok9015064@gmail.com"/>
    <x v="0"/>
    <x v="0"/>
    <x v="0"/>
    <x v="2"/>
    <s v="1-2 Times"/>
    <x v="3"/>
    <x v="1"/>
    <x v="0"/>
    <x v="0"/>
    <x v="1"/>
    <x v="1"/>
    <s v="Nothing"/>
  </r>
  <r>
    <n v="21"/>
    <d v="2025-10-25T20:08:02"/>
    <s v="A K"/>
    <s v="Ak2052590@gmail.com"/>
    <x v="2"/>
    <x v="0"/>
    <x v="1"/>
    <x v="1"/>
    <s v="Daily"/>
    <x v="2"/>
    <x v="0"/>
    <x v="0"/>
    <x v="0"/>
    <x v="1"/>
    <x v="0"/>
    <s v="Nothing"/>
  </r>
  <r>
    <n v="22"/>
    <d v="2025-10-25T20:10:39"/>
    <s v="Atharva"/>
    <s v="atharvakhadye783@gmail.com"/>
    <x v="1"/>
    <x v="0"/>
    <x v="0"/>
    <x v="1"/>
    <s v="Daily"/>
    <x v="1"/>
    <x v="1"/>
    <x v="1"/>
    <x v="1"/>
    <x v="4"/>
    <x v="2"/>
    <s v="Nothing"/>
  </r>
  <r>
    <n v="23"/>
    <d v="2025-10-25T20:11:33"/>
    <s v="Pranav kale "/>
    <s v="pranavkale116@gmail.com"/>
    <x v="0"/>
    <x v="0"/>
    <x v="0"/>
    <x v="1"/>
    <s v="Daily"/>
    <x v="3"/>
    <x v="0"/>
    <x v="0"/>
    <x v="0"/>
    <x v="0"/>
    <x v="2"/>
    <s v="Cashback "/>
  </r>
  <r>
    <n v="24"/>
    <d v="2025-10-25T20:15:37"/>
    <s v="Ramesh laude"/>
    <s v="opnoobde@gmail.com"/>
    <x v="3"/>
    <x v="0"/>
    <x v="0"/>
    <x v="0"/>
    <s v="3-5 Times"/>
    <x v="2"/>
    <x v="1"/>
    <x v="1"/>
    <x v="0"/>
    <x v="0"/>
    <x v="3"/>
    <s v="Yes"/>
  </r>
  <r>
    <n v="25"/>
    <d v="2025-10-25T20:17:21"/>
    <s v="Munir khan "/>
    <s v="munirkhan683227@gmail.com"/>
    <x v="0"/>
    <x v="0"/>
    <x v="0"/>
    <x v="2"/>
    <s v="1-2 Times"/>
    <x v="1"/>
    <x v="0"/>
    <x v="0"/>
    <x v="0"/>
    <x v="2"/>
    <x v="0"/>
    <s v="Nothing"/>
  </r>
  <r>
    <n v="26"/>
    <d v="2025-10-25T20:21:58"/>
    <s v="Mukund Mandaviya "/>
    <s v="Ambernath @gmail.com"/>
    <x v="0"/>
    <x v="0"/>
    <x v="0"/>
    <x v="2"/>
    <s v="1-2 Times"/>
    <x v="0"/>
    <x v="0"/>
    <x v="0"/>
    <x v="0"/>
    <x v="1"/>
    <x v="0"/>
    <s v="Nothing"/>
  </r>
  <r>
    <n v="27"/>
    <d v="2025-10-25T20:22:10"/>
    <s v="Aditi Singh "/>
    <s v="aditisingh30jan2007@gmail.com"/>
    <x v="0"/>
    <x v="1"/>
    <x v="0"/>
    <x v="0"/>
    <s v="3-5 Times"/>
    <x v="0"/>
    <x v="0"/>
    <x v="0"/>
    <x v="0"/>
    <x v="1"/>
    <x v="0"/>
    <s v="Nothing"/>
  </r>
  <r>
    <n v="28"/>
    <d v="2025-10-25T20:22:26"/>
    <s v="Pritam"/>
    <s v="pritamshaw451@gmail.com"/>
    <x v="0"/>
    <x v="0"/>
    <x v="1"/>
    <x v="1"/>
    <s v="Daily"/>
    <x v="3"/>
    <x v="1"/>
    <x v="1"/>
    <x v="0"/>
    <x v="1"/>
    <x v="0"/>
    <s v="History records"/>
  </r>
  <r>
    <n v="29"/>
    <d v="2025-10-25T20:27:04"/>
    <s v="Rajik "/>
    <s v="Raziksayyad2@gmail.com"/>
    <x v="3"/>
    <x v="0"/>
    <x v="0"/>
    <x v="1"/>
    <s v="Daily"/>
    <x v="1"/>
    <x v="0"/>
    <x v="0"/>
    <x v="0"/>
    <x v="1"/>
    <x v="1"/>
    <s v="UPI should Reward us for daily payment "/>
  </r>
  <r>
    <n v="30"/>
    <d v="2025-10-25T20:29:38"/>
    <s v="Priyal "/>
    <s v="priyal.2402523201@vcet.edu.in"/>
    <x v="0"/>
    <x v="0"/>
    <x v="0"/>
    <x v="2"/>
    <s v="1-2 Times"/>
    <x v="3"/>
    <x v="0"/>
    <x v="0"/>
    <x v="0"/>
    <x v="2"/>
    <x v="2"/>
    <s v="N A"/>
  </r>
  <r>
    <n v="31"/>
    <d v="2025-10-25T20:30:27"/>
    <s v="Shravani Ganesh Choudhari "/>
    <s v="shravaniganeshchoudhari@gmail.com"/>
    <x v="0"/>
    <x v="0"/>
    <x v="0"/>
    <x v="2"/>
    <s v="1-2 Times"/>
    <x v="3"/>
    <x v="0"/>
    <x v="0"/>
    <x v="1"/>
    <x v="1"/>
    <x v="2"/>
    <s v="No"/>
  </r>
  <r>
    <n v="32"/>
    <d v="2025-10-25T20:31:16"/>
    <s v="Hardh shah "/>
    <s v="hardhshah1@gmail.com"/>
    <x v="0"/>
    <x v="0"/>
    <x v="0"/>
    <x v="1"/>
    <s v="Daily"/>
    <x v="3"/>
    <x v="0"/>
    <x v="0"/>
    <x v="0"/>
    <x v="2"/>
    <x v="1"/>
    <s v="Nothing"/>
  </r>
  <r>
    <n v="33"/>
    <d v="2025-10-25T20:33:26"/>
    <s v="Priyanka Dharmendra Yadav "/>
    <s v="priyanka043252@gmail.com"/>
    <x v="0"/>
    <x v="0"/>
    <x v="0"/>
    <x v="1"/>
    <s v="Daily"/>
    <x v="2"/>
    <x v="0"/>
    <x v="0"/>
    <x v="0"/>
    <x v="1"/>
    <x v="2"/>
    <s v="Nothing"/>
  </r>
  <r>
    <n v="34"/>
    <d v="2025-10-25T20:35:33"/>
    <s v="Hasan Sayyed "/>
    <s v="hasansayyed066@gmail.com"/>
    <x v="3"/>
    <x v="0"/>
    <x v="1"/>
    <x v="1"/>
    <s v="Daily"/>
    <x v="2"/>
    <x v="0"/>
    <x v="0"/>
    <x v="0"/>
    <x v="2"/>
    <x v="0"/>
    <s v="Nothing"/>
  </r>
  <r>
    <n v="35"/>
    <d v="2025-10-25T20:36:18"/>
    <s v="Trupti "/>
    <s v="kambletrupti424@gmail.com"/>
    <x v="0"/>
    <x v="0"/>
    <x v="0"/>
    <x v="0"/>
    <s v="3-5 Times"/>
    <x v="3"/>
    <x v="0"/>
    <x v="0"/>
    <x v="0"/>
    <x v="2"/>
    <x v="0"/>
    <s v="Payment without internet "/>
  </r>
  <r>
    <n v="36"/>
    <d v="2025-10-25T20:49:55"/>
    <s v="Astha "/>
    <s v="palastha93@gmail.com"/>
    <x v="0"/>
    <x v="0"/>
    <x v="1"/>
    <x v="1"/>
    <s v="Daily"/>
    <x v="1"/>
    <x v="1"/>
    <x v="0"/>
    <x v="0"/>
    <x v="1"/>
    <x v="1"/>
    <s v="Each transaction should give cashback above 100"/>
  </r>
  <r>
    <n v="37"/>
    <d v="2025-10-25T20:50:40"/>
    <s v="Faisal Sayyed "/>
    <s v="faisalsayyed808@gmail.com"/>
    <x v="0"/>
    <x v="0"/>
    <x v="0"/>
    <x v="1"/>
    <s v="Daily"/>
    <x v="3"/>
    <x v="0"/>
    <x v="0"/>
    <x v="0"/>
    <x v="1"/>
    <x v="1"/>
    <s v="Nothing"/>
  </r>
  <r>
    <n v="38"/>
    <d v="2025-10-25T20:51:22"/>
    <s v="Kshitij Warang"/>
    <s v="warangkshitij180@gmail.com"/>
    <x v="3"/>
    <x v="1"/>
    <x v="1"/>
    <x v="0"/>
    <s v="3-5 Times"/>
    <x v="2"/>
    <x v="1"/>
    <x v="1"/>
    <x v="0"/>
    <x v="3"/>
    <x v="0"/>
    <s v="Nothing"/>
  </r>
  <r>
    <n v="39"/>
    <d v="2025-10-25T20:54:28"/>
    <s v="Khushi pandey"/>
    <s v="Kishipandey1140@gamil.com"/>
    <x v="0"/>
    <x v="0"/>
    <x v="0"/>
    <x v="2"/>
    <s v="1-2 Times"/>
    <x v="1"/>
    <x v="1"/>
    <x v="0"/>
    <x v="0"/>
    <x v="1"/>
    <x v="2"/>
    <s v="Nothing"/>
  </r>
  <r>
    <n v="40"/>
    <d v="2025-10-25T21:08:16"/>
    <s v="Vedant Madiwal "/>
    <s v="vedantmadiwal@gmail.com"/>
    <x v="0"/>
    <x v="0"/>
    <x v="0"/>
    <x v="1"/>
    <s v="Daily"/>
    <x v="2"/>
    <x v="0"/>
    <x v="1"/>
    <x v="0"/>
    <x v="1"/>
    <x v="2"/>
    <s v="Security features and offline transaction "/>
  </r>
  <r>
    <n v="41"/>
    <d v="2025-10-25T21:34:22"/>
    <s v="Pruthvi kamble "/>
    <s v="pruthvikamble576@gmail.com"/>
    <x v="0"/>
    <x v="0"/>
    <x v="0"/>
    <x v="1"/>
    <s v="Daily"/>
    <x v="3"/>
    <x v="0"/>
    <x v="0"/>
    <x v="0"/>
    <x v="2"/>
    <x v="0"/>
    <s v="Develope a strong system as more secure as possible "/>
  </r>
  <r>
    <n v="42"/>
    <d v="2025-10-25T21:40:28"/>
    <s v="Moin Shaikh "/>
    <s v="shaikhrozan90@gmail.com"/>
    <x v="0"/>
    <x v="0"/>
    <x v="0"/>
    <x v="1"/>
    <s v="Daily"/>
    <x v="3"/>
    <x v="0"/>
    <x v="0"/>
    <x v="0"/>
    <x v="1"/>
    <x v="2"/>
    <s v="Per payment cashback "/>
  </r>
  <r>
    <n v="43"/>
    <d v="2025-10-25T23:40:32"/>
    <s v="Aditya Ughade "/>
    <s v="Unr 2@gmail.com"/>
    <x v="0"/>
    <x v="0"/>
    <x v="0"/>
    <x v="0"/>
    <s v="3-5 Times"/>
    <x v="2"/>
    <x v="0"/>
    <x v="0"/>
    <x v="0"/>
    <x v="1"/>
    <x v="0"/>
    <s v="Nothing"/>
  </r>
  <r>
    <n v="44"/>
    <d v="2025-10-26T06:46:50"/>
    <s v="Riya Salunkhe "/>
    <s v="salunkheriya76@gmail.com"/>
    <x v="0"/>
    <x v="0"/>
    <x v="0"/>
    <x v="2"/>
    <s v="1-2 Times"/>
    <x v="3"/>
    <x v="0"/>
    <x v="0"/>
    <x v="0"/>
    <x v="2"/>
    <x v="2"/>
    <s v="Investment &amp; savings integration"/>
  </r>
  <r>
    <n v="45"/>
    <d v="2025-10-26T08:36:32"/>
    <s v="Sumedh Sanjay Nilakhe "/>
    <s v="sumedhnilakhe832@gmail.com"/>
    <x v="0"/>
    <x v="0"/>
    <x v="1"/>
    <x v="1"/>
    <s v="Daily"/>
    <x v="3"/>
    <x v="0"/>
    <x v="1"/>
    <x v="1"/>
    <x v="0"/>
    <x v="2"/>
    <s v="Nothing"/>
  </r>
  <r>
    <n v="46"/>
    <d v="2025-10-26T08:56:42"/>
    <s v="Ashish ganpat Fulaware "/>
    <s v="ashishfulaware123456@gmail.com"/>
    <x v="0"/>
    <x v="0"/>
    <x v="0"/>
    <x v="0"/>
    <s v="3-5 Times"/>
    <x v="0"/>
    <x v="0"/>
    <x v="0"/>
    <x v="0"/>
    <x v="2"/>
    <x v="1"/>
    <s v="Its already good"/>
  </r>
  <r>
    <n v="47"/>
    <d v="2025-10-26T09:06:45"/>
    <s v="Abhay ramadurg"/>
    <s v="abhayramadurg30@gmail.com "/>
    <x v="1"/>
    <x v="0"/>
    <x v="0"/>
    <x v="1"/>
    <s v="Daily"/>
    <x v="3"/>
    <x v="0"/>
    <x v="0"/>
    <x v="0"/>
    <x v="1"/>
    <x v="2"/>
    <s v="Instant payments without having to put the pin"/>
  </r>
  <r>
    <n v="48"/>
    <d v="2025-10-26T09:11:32"/>
    <s v="Muzaffer khan "/>
    <s v="muzafferkhan667@gmail.com"/>
    <x v="3"/>
    <x v="0"/>
    <x v="1"/>
    <x v="1"/>
    <s v="Daily"/>
    <x v="0"/>
    <x v="0"/>
    <x v="0"/>
    <x v="0"/>
    <x v="2"/>
    <x v="0"/>
    <s v="Nothing"/>
  </r>
  <r>
    <n v="49"/>
    <d v="2025-10-26T09:28:44"/>
    <s v="Md Sohail Shaikh "/>
    <s v="sohailshaikh1942@gmail.com"/>
    <x v="0"/>
    <x v="0"/>
    <x v="0"/>
    <x v="1"/>
    <s v="Daily"/>
    <x v="3"/>
    <x v="0"/>
    <x v="0"/>
    <x v="0"/>
    <x v="1"/>
    <x v="1"/>
    <s v="Nothing"/>
  </r>
  <r>
    <n v="50"/>
    <d v="2025-10-26T10:12:48"/>
    <s v="Deepali Tyagi "/>
    <s v="tyagideepali628@gmail.com"/>
    <x v="0"/>
    <x v="0"/>
    <x v="0"/>
    <x v="0"/>
    <s v="3-5 Times"/>
    <x v="2"/>
    <x v="0"/>
    <x v="0"/>
    <x v="0"/>
    <x v="1"/>
    <x v="0"/>
    <s v="Certain amount transaction/transfer availability in offline mode"/>
  </r>
  <r>
    <n v="51"/>
    <d v="2025-10-26T10:49:42"/>
    <s v="Rifat Khan"/>
    <s v="rehan2233khann@gmai.com"/>
    <x v="1"/>
    <x v="0"/>
    <x v="2"/>
    <x v="2"/>
    <s v="1-2 Times"/>
    <x v="0"/>
    <x v="0"/>
    <x v="0"/>
    <x v="0"/>
    <x v="1"/>
    <x v="0"/>
    <s v="Nothing"/>
  </r>
  <r>
    <n v="52"/>
    <d v="2025-10-26T10:58:55"/>
    <s v="Yashwant "/>
    <s v=" yashwantmhad@gmail.com"/>
    <x v="2"/>
    <x v="0"/>
    <x v="0"/>
    <x v="2"/>
    <s v="1-2 Times"/>
    <x v="2"/>
    <x v="0"/>
    <x v="0"/>
    <x v="0"/>
    <x v="1"/>
    <x v="2"/>
    <s v="Offline Payment "/>
  </r>
  <r>
    <n v="53"/>
    <d v="2025-10-26T11:05:42"/>
    <s v="Anil ughade "/>
    <s v="N A"/>
    <x v="2"/>
    <x v="0"/>
    <x v="0"/>
    <x v="0"/>
    <s v="3-5 Times"/>
    <x v="2"/>
    <x v="0"/>
    <x v="0"/>
    <x v="0"/>
    <x v="0"/>
    <x v="2"/>
    <s v="Nothing"/>
  </r>
  <r>
    <n v="54"/>
    <d v="2025-10-26T11:12:19"/>
    <s v="Omkar "/>
    <s v="omkar2102j@gmail.com"/>
    <x v="0"/>
    <x v="0"/>
    <x v="0"/>
    <x v="1"/>
    <s v="Daily"/>
    <x v="3"/>
    <x v="0"/>
    <x v="0"/>
    <x v="0"/>
    <x v="1"/>
    <x v="0"/>
    <s v="N A"/>
  </r>
  <r>
    <n v="55"/>
    <d v="2025-10-26T11:35:54"/>
    <s v="Neha patil"/>
    <s v="nehayogeshpatil@gmail.com"/>
    <x v="2"/>
    <x v="0"/>
    <x v="1"/>
    <x v="1"/>
    <s v="Daily"/>
    <x v="0"/>
    <x v="0"/>
    <x v="0"/>
    <x v="0"/>
    <x v="1"/>
    <x v="2"/>
    <s v="Nothing"/>
  </r>
  <r>
    <n v="56"/>
    <d v="2025-10-26T12:03:05"/>
    <s v="Sohil shakil shaikh "/>
    <s v="shaikh150698@gmail.com"/>
    <x v="3"/>
    <x v="0"/>
    <x v="0"/>
    <x v="1"/>
    <s v="Daily"/>
    <x v="2"/>
    <x v="1"/>
    <x v="0"/>
    <x v="0"/>
    <x v="1"/>
    <x v="2"/>
    <s v="Nothing"/>
  </r>
  <r>
    <n v="57"/>
    <d v="2025-10-26T12:15:45"/>
    <s v="Ashish wadhwa "/>
    <s v="wadhwaaashish666@gmail.com"/>
    <x v="0"/>
    <x v="0"/>
    <x v="0"/>
    <x v="0"/>
    <s v="3-5 Times"/>
    <x v="1"/>
    <x v="0"/>
    <x v="0"/>
    <x v="0"/>
    <x v="1"/>
    <x v="1"/>
    <s v="Nothing"/>
  </r>
  <r>
    <n v="58"/>
    <d v="2025-10-26T12:28:17"/>
    <s v="Priyanshu Tiwari "/>
    <s v="priyanshut2005@gmail.com"/>
    <x v="0"/>
    <x v="0"/>
    <x v="1"/>
    <x v="1"/>
    <s v="Daily"/>
    <x v="3"/>
    <x v="0"/>
    <x v="1"/>
    <x v="1"/>
    <x v="2"/>
    <x v="1"/>
    <s v="UPI is safe and so easy to use..  i will suggest that every one should use UPI ."/>
  </r>
  <r>
    <n v="59"/>
    <d v="2025-10-26T13:24:50"/>
    <s v="Sufiyan shaikh "/>
    <s v="nazirshaikh4568@gmail.com"/>
    <x v="0"/>
    <x v="0"/>
    <x v="0"/>
    <x v="1"/>
    <s v="Daily"/>
    <x v="3"/>
    <x v="0"/>
    <x v="0"/>
    <x v="0"/>
    <x v="0"/>
    <x v="0"/>
    <s v="Cashback on every transaction "/>
  </r>
  <r>
    <n v="60"/>
    <d v="2025-10-26T15:17:46"/>
    <s v="Tirth "/>
    <s v="tirth23nrl@gmail.com"/>
    <x v="0"/>
    <x v="0"/>
    <x v="0"/>
    <x v="1"/>
    <s v="Daily"/>
    <x v="0"/>
    <x v="0"/>
    <x v="0"/>
    <x v="0"/>
    <x v="1"/>
    <x v="1"/>
    <s v="Noth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A22F46-558C-4A90-B30F-5AC524F3F586}" name="PivotTable3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7">
  <location ref="A3:B8" firstHeaderRow="1" firstDataRow="1" firstDataCol="1"/>
  <pivotFields count="16">
    <pivotField dataField="1" showAll="0"/>
    <pivotField numFmtId="22" showAll="0"/>
    <pivotField showAll="0"/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Respondent_ID" fld="0" subtotal="count" baseField="6" baseItem="0"/>
  </dataFields>
  <chartFormats count="10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4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4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4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2E5239-2B98-40EB-8BCD-84329F241901}" name="PivotTable4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1">
  <location ref="A3:B7" firstHeaderRow="1" firstDataRow="1" firstDataCol="1"/>
  <pivotFields count="16">
    <pivotField dataField="1" showAll="0"/>
    <pivotField numFmtId="22"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espondent_ID" fld="0" subtotal="count" baseField="7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AD2023-87C8-4C37-B8BA-9BFF5F7A2282}" name="PivotTable5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2">
  <location ref="A1:B6" firstHeaderRow="1" firstDataRow="1" firstDataCol="1"/>
  <pivotFields count="16">
    <pivotField dataField="1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Respondent_ID" fld="0" subtotal="count" baseField="9" baseItem="0"/>
  </dataFields>
  <chartFormats count="10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9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5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9" format="16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9" format="17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9" format="18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EC3AD5-4940-4725-A217-006CA4F1C439}" name="PivotTable6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8">
  <location ref="A3:B6" firstHeaderRow="1" firstDataRow="1" firstDataCol="1"/>
  <pivotFields count="16">
    <pivotField dataField="1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Count of Respondent_ID" fld="0" subtotal="count" baseField="1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23150A-05AD-4F02-92AC-811D875F2BBB}" name="PivotTable7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8">
  <location ref="A3:B6" firstHeaderRow="1" firstDataRow="1" firstDataCol="1"/>
  <pivotFields count="16">
    <pivotField dataField="1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Count of Respondent_ID" fld="0" subtotal="count" baseField="11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0674F2-D134-4DB0-A462-BBB86E65B5C1}" name="PivotTable8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7">
  <location ref="A3:B6" firstHeaderRow="1" firstDataRow="1" firstDataCol="1"/>
  <pivotFields count="16">
    <pivotField dataField="1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Count of Respondent_ID" fld="0" subtotal="count" baseField="12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510229-3259-4327-87F1-EA8A861A125C}" name="PivotTable9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4">
  <location ref="A3:B9" firstHeaderRow="1" firstDataRow="1" firstDataCol="1"/>
  <pivotFields count="16">
    <pivotField dataField="1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axis="axisRow" showAll="0" defaultSubtotal="0">
      <items count="5">
        <item x="1"/>
        <item x="2"/>
        <item x="3"/>
        <item x="4"/>
        <item x="0"/>
      </items>
    </pivotField>
    <pivotField showAll="0">
      <items count="5">
        <item x="3"/>
        <item x="0"/>
        <item x="1"/>
        <item x="2"/>
        <item t="default"/>
      </items>
    </pivotField>
    <pivotField showAll="0"/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Respondent_ID" fld="0" subtotal="count" baseField="12" baseItem="0"/>
  </dataField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1B2055-6ADA-46D9-9B89-F2D6F55AC34A}" name="PivotTable10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5">
  <location ref="A3:B8" firstHeaderRow="1" firstDataRow="1" firstDataCol="1" rowPageCount="1" colPageCount="1"/>
  <pivotFields count="16">
    <pivotField dataField="1" showAll="0"/>
    <pivotField numFmtId="22" showAll="0"/>
    <pivotField showAll="0"/>
    <pivotField showAll="0"/>
    <pivotField showAll="0"/>
    <pivotField axis="axisPage" multipleItemSelectionAllowe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5" hier="-1"/>
  </pageFields>
  <dataFields count="1">
    <dataField name="Count of Respondent_ID" fld="0" subtotal="count" baseField="14" baseItem="0"/>
  </dataFields>
  <chartFormats count="20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0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0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0" format="4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1" format="9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1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2" format="1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2" format="13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2" format="14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2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22" format="1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22" format="13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22" format="14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DD0CFE-3DEF-49B1-844C-8BD9F38E73D6}" name="PivotTable11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6" rowHeaderCaption="Age Group">
  <location ref="A3:F9" firstHeaderRow="1" firstDataRow="2" firstDataCol="1"/>
  <pivotFields count="16">
    <pivotField dataField="1" showAll="0"/>
    <pivotField numFmtId="22" showAll="0"/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  <pivotField showAll="0"/>
    <pivotField axis="axisCol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Count of Respondent_ID" fld="0" subtotal="count" baseField="4" baseItem="0"/>
  </dataFields>
  <chartFormats count="2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3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3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3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3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F94FEB-2EB1-47C4-9DF7-AA15D4A8D68F}" name="PivotTable12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0">
  <location ref="A3:D7" firstHeaderRow="1" firstDataRow="2" firstDataCol="1"/>
  <pivotFields count="16">
    <pivotField dataField="1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10"/>
  </rowFields>
  <rowItems count="3">
    <i>
      <x/>
    </i>
    <i>
      <x v="1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Count of Respondent_ID" fld="0" subtotal="count" baseField="1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FB2438-48D2-4D51-B541-7AC95D1D12FD}" name="PivotTable13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7" rowHeaderCaption="Main Purpose">
  <location ref="A3:E9" firstHeaderRow="1" firstDataRow="2" firstDataCol="1"/>
  <pivotFields count="16">
    <pivotField dataField="1" showAll="0"/>
    <pivotField numFmtId="22" showAll="0"/>
    <pivotField showAll="0"/>
    <pivotField showAll="0"/>
    <pivotField showAll="0"/>
    <pivotField showAll="0"/>
    <pivotField showAll="0"/>
    <pivotField axis="axisCol" showAll="0">
      <items count="4">
        <item x="2"/>
        <item x="0"/>
        <item x="1"/>
        <item t="default"/>
      </items>
    </pivotField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Count of Respondent_ID" fld="0" subtotal="count" baseField="9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4F3676-83B9-4821-990A-90E9A4335E65}" name="PivotTable14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9">
  <location ref="A3:F9" firstHeaderRow="1" firstDataRow="2" firstDataCol="1"/>
  <pivotFields count="16">
    <pivotField dataField="1" showAll="0"/>
    <pivotField numFmtId="22" showAll="0"/>
    <pivotField showAll="0"/>
    <pivotField showAll="0"/>
    <pivotField axis="axisCol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Count of Respondent_ID" fld="0" subtotal="count" baseField="14" baseItem="0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6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812EA3E-E923-46F3-B805-2959A6604379}" autoFormatId="16" applyNumberFormats="0" applyBorderFormats="0" applyFontFormats="0" applyPatternFormats="0" applyAlignmentFormats="0" applyWidthHeightFormats="0">
  <queryTableRefresh nextId="18">
    <queryTableFields count="16">
      <queryTableField id="1" name="Respondent_ID" tableColumnId="16"/>
      <queryTableField id="2" name="Timestamp" tableColumnId="2"/>
      <queryTableField id="3" name="Name" tableColumnId="3"/>
      <queryTableField id="4" name="Email" tableColumnId="4"/>
      <queryTableField id="5" name="Age_Group" tableColumnId="5"/>
      <queryTableField id="6" name="Uses_UPI" tableColumnId="6"/>
      <queryTableField id="7" name="Primary_App" tableColumnId="7"/>
      <queryTableField id="8" name="Freq_per_week" tableColumnId="8"/>
      <queryTableField id="16" dataBound="0" tableColumnId="1"/>
      <queryTableField id="9" name="Purpose_Main" tableColumnId="9"/>
      <queryTableField id="10" name="Issues_Flag" tableColumnId="10"/>
      <queryTableField id="11" name="Perceive_Secure" tableColumnId="11"/>
      <queryTableField id="12" name="Perceive_Benefit" tableColumnId="12"/>
      <queryTableField id="13" name="Primary_Reasons" tableColumnId="13"/>
      <queryTableField id="14" name="NonUser_Reason" tableColumnId="14"/>
      <queryTableField id="15" name="Extra_features" tableColumnId="1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16FBF21-560F-4D47-9A95-465EA83BB169}" name="Table4" displayName="Table4" ref="A2:B9" totalsRowShown="0" headerRowDxfId="41" dataDxfId="40">
  <autoFilter ref="A2:B9" xr:uid="{916FBF21-560F-4D47-9A95-465EA83BB169}"/>
  <tableColumns count="2">
    <tableColumn id="1" xr3:uid="{3BFE4561-C592-455A-8847-585BCC36AA32}" name="title" dataDxfId="39"/>
    <tableColumn id="2" xr3:uid="{C31E9886-ADBE-49FE-922A-60020E58C535}" name="UPI &amp; Cashless Economy — Project Summary" dataDxfId="3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ABD8D9-CAC9-409B-9E0B-0A372C34A76A}" name="tbl_UPI" displayName="tbl_UPI" ref="A1:P61" tableType="queryTable" totalsRowShown="0" headerRowDxfId="37" dataDxfId="36">
  <autoFilter ref="A1:P61" xr:uid="{8EABD8D9-CAC9-409B-9E0B-0A372C34A76A}"/>
  <tableColumns count="16">
    <tableColumn id="16" xr3:uid="{ED29B9A7-5A64-45AE-B5DB-09987EC4AE58}" uniqueName="16" name="Respondent_ID" queryTableFieldId="1" dataDxfId="35"/>
    <tableColumn id="2" xr3:uid="{F53D3BAC-1055-4D37-AA96-6A6D0D6F26B6}" uniqueName="2" name="Timestamp" queryTableFieldId="2" dataDxfId="34"/>
    <tableColumn id="3" xr3:uid="{59FD9079-F8D7-443A-AB42-51271FB31309}" uniqueName="3" name="Name" queryTableFieldId="3" dataDxfId="33"/>
    <tableColumn id="4" xr3:uid="{63BBA66E-F033-4968-BC43-A19C80F3FFE7}" uniqueName="4" name="Email" queryTableFieldId="4" dataDxfId="32"/>
    <tableColumn id="5" xr3:uid="{51E31202-1F12-42B1-85B8-BDF6D4B932B6}" uniqueName="5" name="Age_Group" queryTableFieldId="5" dataDxfId="31"/>
    <tableColumn id="6" xr3:uid="{FAE263C4-543C-47ED-8689-2063C98BF985}" uniqueName="6" name="Uses_UPI" queryTableFieldId="6" dataDxfId="30"/>
    <tableColumn id="7" xr3:uid="{CC26AFA3-3987-44FC-8411-B791D4575ADD}" uniqueName="7" name="Primary_App" queryTableFieldId="7" dataDxfId="29"/>
    <tableColumn id="8" xr3:uid="{7C34E01A-E653-4B63-B4C1-BFF0A79F26F0}" uniqueName="8" name="Freq_per_week" queryTableFieldId="8" dataDxfId="28"/>
    <tableColumn id="1" xr3:uid="{C2E44FF3-E184-460A-9AD6-0210CB063136}" uniqueName="1" name="Freq_Clean" queryTableFieldId="16" dataDxfId="27">
      <calculatedColumnFormula>TRIM(tbl_UPI[[#This Row],[Freq_per_week]])</calculatedColumnFormula>
    </tableColumn>
    <tableColumn id="9" xr3:uid="{179CDE78-2529-4741-B88D-2363D3426810}" uniqueName="9" name="Purpose_Main" queryTableFieldId="9" dataDxfId="26"/>
    <tableColumn id="10" xr3:uid="{116EB41E-20E6-4CBA-AC6D-B95A5147FA35}" uniqueName="10" name="Issues_Flag" queryTableFieldId="10" dataDxfId="25"/>
    <tableColumn id="11" xr3:uid="{8DF70DF1-9A70-48A8-99C2-9064C3398CD4}" uniqueName="11" name="Perceive_Secure" queryTableFieldId="11" dataDxfId="24"/>
    <tableColumn id="12" xr3:uid="{8AD11AC8-022D-4064-B8E8-6B6A4D8BEA74}" uniqueName="12" name="Perceive_Benefit" queryTableFieldId="12" dataDxfId="23"/>
    <tableColumn id="13" xr3:uid="{6FDF8084-9415-4D95-B5A6-45354C099BBC}" uniqueName="13" name="Primary_Reasons" queryTableFieldId="13" dataDxfId="22"/>
    <tableColumn id="14" xr3:uid="{C924A84D-F274-4DF5-B8FB-A47F374EEB0D}" uniqueName="14" name="NonUser_Reason" queryTableFieldId="14" dataDxfId="21"/>
    <tableColumn id="15" xr3:uid="{E7B5B67D-376E-4369-BB27-394254003C8F}" uniqueName="15" name="Extra_features" queryTableFieldId="15" dataDxfId="2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CEDE99-7FFC-4B0D-8719-5D869FD645BC}" name="Form_Responses" displayName="Form_Responses" ref="A1:O61" headerRowDxfId="19" dataDxfId="18" totalsRowDxfId="17">
  <tableColumns count="15">
    <tableColumn id="16" xr3:uid="{CBBEE005-2923-4641-BAB3-19AD732D84FF}" name="Respondent_ID" dataDxfId="16"/>
    <tableColumn id="15" xr3:uid="{5B207400-B31E-4AE5-B906-94C4968BE7A7}" name="Timestamp" dataDxfId="15"/>
    <tableColumn id="2" xr3:uid="{73E92356-B503-4E2F-81A7-2E3EBE888627}" name="Name" dataDxfId="14"/>
    <tableColumn id="3" xr3:uid="{5243931A-90AC-4F7C-9339-C306DF6910B3}" name="Email" dataDxfId="13"/>
    <tableColumn id="4" xr3:uid="{3310044B-2D38-4BAA-BA47-9F8BDC5D2FB9}" name="Age_Group" dataDxfId="12"/>
    <tableColumn id="5" xr3:uid="{BFCACFF2-00F6-4D33-9605-2C061673BD1E}" name="Uses_UPI" dataDxfId="11"/>
    <tableColumn id="6" xr3:uid="{9A465610-9FCC-49BF-B206-B7BB4D103CA1}" name="Primary_App" dataDxfId="10"/>
    <tableColumn id="7" xr3:uid="{208195B9-31A7-4C73-8A8E-7A813827C37F}" name="Freq_per_week" dataDxfId="9"/>
    <tableColumn id="8" xr3:uid="{544922AC-90B5-43B5-88FA-CF6B1E9FAA6D}" name="Purpose_Main" dataDxfId="8"/>
    <tableColumn id="9" xr3:uid="{81DFC1F6-B558-4729-AE60-776C728CD2CD}" name="Issues_Flag" dataDxfId="7"/>
    <tableColumn id="10" xr3:uid="{671FD804-21D9-41F8-BC95-CD00C4C66264}" name="Perceive_Secure" dataDxfId="6"/>
    <tableColumn id="11" xr3:uid="{94BE4233-CFB1-4F24-A22C-AD9BB6BF7E97}" name="Perceive_Benefit" dataDxfId="5"/>
    <tableColumn id="12" xr3:uid="{ADC9B8A2-3B06-4728-9DB1-44F7271CC407}" name="Primary_Reasons" dataDxfId="4"/>
    <tableColumn id="13" xr3:uid="{62410349-752B-4F27-9DF7-172E7109EC39}" name="NonUser_Reason" dataDxfId="3"/>
    <tableColumn id="14" xr3:uid="{2FABEB2A-FB43-466E-8725-E4C198A18697}" name="Extra_features" dataDxfId="2"/>
  </tableColumns>
  <tableStyleInfo name="TableStyleLight1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ED8C32-2380-434A-88E3-C79D146A3356}" name="Table3" displayName="Table3" ref="A1:B4" totalsRowShown="0" headerRowDxfId="1">
  <autoFilter ref="A1:B4" xr:uid="{BAED8C32-2380-434A-88E3-C79D146A3356}"/>
  <tableColumns count="2">
    <tableColumn id="1" xr3:uid="{8E1EBE80-19AB-4D10-B527-FB27490E99C3}" name="A (Freq_Label)" dataDxfId="0"/>
    <tableColumn id="2" xr3:uid="{39A2EDBB-0B05-488D-AAF8-2570F3D44C95}" name="B (Score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">
      <a:dk1>
        <a:sysClr val="windowText" lastClr="000000"/>
      </a:dk1>
      <a:lt1>
        <a:sysClr val="window" lastClr="FFFFFF"/>
      </a:lt1>
      <a:dk2>
        <a:srgbClr val="39302A"/>
      </a:dk2>
      <a:lt2>
        <a:srgbClr val="E5DEDB"/>
      </a:lt2>
      <a:accent1>
        <a:srgbClr val="FFCA08"/>
      </a:accent1>
      <a:accent2>
        <a:srgbClr val="F8931D"/>
      </a:accent2>
      <a:accent3>
        <a:srgbClr val="CE8D3E"/>
      </a:accent3>
      <a:accent4>
        <a:srgbClr val="EC7016"/>
      </a:accent4>
      <a:accent5>
        <a:srgbClr val="E64823"/>
      </a:accent5>
      <a:accent6>
        <a:srgbClr val="9C6A6A"/>
      </a:accent6>
      <a:hlink>
        <a:srgbClr val="2998E3"/>
      </a:hlink>
      <a:folHlink>
        <a:srgbClr val="7F723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Banded Edge">
      <a:fillStyleLst>
        <a:solidFill>
          <a:schemeClr val="phClr"/>
        </a:solidFill>
        <a:solidFill>
          <a:schemeClr val="phClr">
            <a:tint val="50000"/>
          </a:schemeClr>
        </a:solidFill>
        <a:gradFill rotWithShape="1">
          <a:gsLst>
            <a:gs pos="0">
              <a:schemeClr val="phClr"/>
            </a:gs>
            <a:gs pos="90000">
              <a:schemeClr val="phClr">
                <a:shade val="100000"/>
              </a:schemeClr>
            </a:gs>
            <a:gs pos="100000">
              <a:schemeClr val="phClr">
                <a:shade val="85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10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53975" cap="flat" cmpd="dbl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17779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hemeClr val="phClr">
                <a:shade val="3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8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9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0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1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hyperlink" Target="mailto:khan2233rehan@gmail.com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4DCB0-869A-4118-9374-6048F6E7F5AA}">
  <dimension ref="A1:AM57"/>
  <sheetViews>
    <sheetView showGridLines="0" zoomScale="55" zoomScaleNormal="55" workbookViewId="0">
      <pane ySplit="1" topLeftCell="A2" activePane="bottomLeft" state="frozen"/>
      <selection pane="bottomLeft" sqref="A1:XFD1048576"/>
    </sheetView>
  </sheetViews>
  <sheetFormatPr defaultRowHeight="15"/>
  <sheetData>
    <row r="1" spans="1:39" ht="30.75" customHeight="1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23"/>
    </row>
    <row r="2" spans="1:39" ht="23.25" customHeight="1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3"/>
    </row>
    <row r="3" spans="1:39" ht="22.5" customHeight="1">
      <c r="A3" s="34" t="s">
        <v>2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3"/>
    </row>
    <row r="4" spans="1:39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3"/>
    </row>
    <row r="5" spans="1:39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3"/>
    </row>
    <row r="6" spans="1:39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3"/>
    </row>
    <row r="7" spans="1:39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3"/>
    </row>
    <row r="8" spans="1:39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3"/>
    </row>
    <row r="9" spans="1:39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3"/>
    </row>
    <row r="10" spans="1:39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3"/>
    </row>
    <row r="11" spans="1:39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3"/>
    </row>
    <row r="12" spans="1:39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3"/>
    </row>
    <row r="13" spans="1:39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3"/>
    </row>
    <row r="14" spans="1:39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3"/>
    </row>
    <row r="15" spans="1:39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3"/>
    </row>
    <row r="16" spans="1:39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3"/>
    </row>
    <row r="17" spans="1:39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3"/>
    </row>
    <row r="18" spans="1:39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3"/>
    </row>
    <row r="19" spans="1:39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3"/>
    </row>
    <row r="20" spans="1:39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3"/>
    </row>
    <row r="21" spans="1:39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3"/>
    </row>
    <row r="22" spans="1:39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3"/>
    </row>
    <row r="23" spans="1:39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3"/>
    </row>
    <row r="24" spans="1:39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3"/>
    </row>
    <row r="25" spans="1:39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3"/>
    </row>
    <row r="26" spans="1:39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3"/>
    </row>
    <row r="27" spans="1:39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3"/>
    </row>
    <row r="28" spans="1:39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3"/>
    </row>
    <row r="29" spans="1:39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3"/>
    </row>
    <row r="30" spans="1:39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3"/>
    </row>
    <row r="31" spans="1:39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3"/>
    </row>
    <row r="32" spans="1:39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3"/>
    </row>
    <row r="33" spans="1:39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3"/>
    </row>
    <row r="34" spans="1:39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3"/>
    </row>
    <row r="35" spans="1:39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3"/>
    </row>
    <row r="36" spans="1:39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3"/>
    </row>
    <row r="37" spans="1:39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3"/>
    </row>
    <row r="38" spans="1:39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3"/>
    </row>
    <row r="39" spans="1:39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3"/>
    </row>
    <row r="40" spans="1:39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3"/>
    </row>
    <row r="41" spans="1:39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3"/>
    </row>
    <row r="42" spans="1:39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3"/>
    </row>
    <row r="43" spans="1:39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3"/>
    </row>
    <row r="44" spans="1:39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 t="s">
        <v>3</v>
      </c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3"/>
    </row>
    <row r="45" spans="1:39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3"/>
    </row>
    <row r="46" spans="1:39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3"/>
    </row>
    <row r="47" spans="1:39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3"/>
    </row>
    <row r="48" spans="1:39" ht="15.7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30" t="s">
        <v>4</v>
      </c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23"/>
    </row>
    <row r="49" spans="1:39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3"/>
    </row>
    <row r="50" spans="1:39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</row>
    <row r="51" spans="1:39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</row>
    <row r="52" spans="1:39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</row>
    <row r="53" spans="1:39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</row>
    <row r="54" spans="1:39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</row>
    <row r="55" spans="1:39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</row>
    <row r="56" spans="1:39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</row>
    <row r="57" spans="1:39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</row>
  </sheetData>
  <mergeCells count="4">
    <mergeCell ref="X48:AL48"/>
    <mergeCell ref="A1:AL1"/>
    <mergeCell ref="A3:W3"/>
    <mergeCell ref="A2:W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D6756-4085-4A92-B802-253DE7BA264E}">
  <dimension ref="A1:B6"/>
  <sheetViews>
    <sheetView workbookViewId="0">
      <selection activeCell="B8" sqref="B8"/>
    </sheetView>
  </sheetViews>
  <sheetFormatPr defaultRowHeight="15"/>
  <cols>
    <col min="1" max="1" width="12.7109375" bestFit="1" customWidth="1"/>
    <col min="2" max="2" width="158.5703125" bestFit="1" customWidth="1"/>
  </cols>
  <sheetData>
    <row r="1" spans="1:2">
      <c r="A1" s="28" t="s">
        <v>5</v>
      </c>
      <c r="B1" s="27" t="s">
        <v>6</v>
      </c>
    </row>
    <row r="2" spans="1:2">
      <c r="A2" s="28" t="s">
        <v>7</v>
      </c>
      <c r="B2" s="27" t="s">
        <v>8</v>
      </c>
    </row>
    <row r="3" spans="1:2">
      <c r="A3" s="28" t="s">
        <v>9</v>
      </c>
      <c r="B3" s="27" t="s">
        <v>10</v>
      </c>
    </row>
    <row r="4" spans="1:2" ht="105">
      <c r="A4" s="28" t="s">
        <v>11</v>
      </c>
      <c r="B4" s="29" t="s">
        <v>12</v>
      </c>
    </row>
    <row r="5" spans="1:2">
      <c r="A5" s="28" t="s">
        <v>13</v>
      </c>
      <c r="B5" s="27" t="s">
        <v>14</v>
      </c>
    </row>
    <row r="6" spans="1:2">
      <c r="A6" s="28" t="s">
        <v>15</v>
      </c>
      <c r="B6" s="27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C00A6-81AD-4451-865C-EC163F7C3C39}">
  <dimension ref="A1:B34"/>
  <sheetViews>
    <sheetView zoomScale="55" zoomScaleNormal="55" workbookViewId="0">
      <selection activeCell="B6" sqref="B6"/>
    </sheetView>
  </sheetViews>
  <sheetFormatPr defaultColWidth="35.7109375" defaultRowHeight="15"/>
  <cols>
    <col min="1" max="1" width="56.5703125" style="16" bestFit="1" customWidth="1"/>
    <col min="2" max="2" width="184.85546875" style="15" bestFit="1" customWidth="1"/>
    <col min="3" max="16384" width="35.7109375" style="15"/>
  </cols>
  <sheetData>
    <row r="1" spans="1:2" ht="34.5">
      <c r="A1" s="36" t="s">
        <v>17</v>
      </c>
      <c r="B1" s="37"/>
    </row>
    <row r="2" spans="1:2" ht="20.25">
      <c r="A2" s="17" t="s">
        <v>18</v>
      </c>
      <c r="B2" s="18" t="s">
        <v>19</v>
      </c>
    </row>
    <row r="3" spans="1:2" ht="20.25">
      <c r="A3" s="17" t="s">
        <v>20</v>
      </c>
      <c r="B3" s="18" t="s">
        <v>21</v>
      </c>
    </row>
    <row r="4" spans="1:2" ht="60.75">
      <c r="A4" s="17" t="s">
        <v>22</v>
      </c>
      <c r="B4" s="19" t="s">
        <v>23</v>
      </c>
    </row>
    <row r="5" spans="1:2" ht="409.5">
      <c r="A5" s="17" t="s">
        <v>24</v>
      </c>
      <c r="B5" s="19" t="s">
        <v>25</v>
      </c>
    </row>
    <row r="6" spans="1:2" ht="141.75">
      <c r="A6" s="17" t="s">
        <v>26</v>
      </c>
      <c r="B6" s="19" t="s">
        <v>27</v>
      </c>
    </row>
    <row r="7" spans="1:2" ht="101.25">
      <c r="A7" s="17" t="s">
        <v>28</v>
      </c>
      <c r="B7" s="19" t="s">
        <v>29</v>
      </c>
    </row>
    <row r="8" spans="1:2" ht="20.25">
      <c r="A8" s="17" t="s">
        <v>30</v>
      </c>
      <c r="B8" s="18" t="s">
        <v>31</v>
      </c>
    </row>
    <row r="9" spans="1:2" ht="20.25">
      <c r="A9" s="17"/>
      <c r="B9" s="18"/>
    </row>
    <row r="10" spans="1:2">
      <c r="B10" s="1"/>
    </row>
    <row r="12" spans="1:2">
      <c r="B12" s="1"/>
    </row>
    <row r="14" spans="1:2">
      <c r="B14" s="1"/>
    </row>
    <row r="16" spans="1:2">
      <c r="B16" s="1"/>
    </row>
    <row r="18" spans="2:2">
      <c r="B18" s="1"/>
    </row>
    <row r="20" spans="2:2">
      <c r="B20" s="1"/>
    </row>
    <row r="22" spans="2:2">
      <c r="B22" s="1"/>
    </row>
    <row r="24" spans="2:2">
      <c r="B24" s="1"/>
    </row>
    <row r="26" spans="2:2">
      <c r="B26" s="1"/>
    </row>
    <row r="28" spans="2:2">
      <c r="B28" s="1"/>
    </row>
    <row r="30" spans="2:2">
      <c r="B30" s="1"/>
    </row>
    <row r="32" spans="2:2">
      <c r="B32" s="1"/>
    </row>
    <row r="34" spans="2:2">
      <c r="B34" s="1"/>
    </row>
  </sheetData>
  <mergeCells count="1">
    <mergeCell ref="A1:B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4E4BC-8BC8-4E27-BB82-F37805AF364B}">
  <dimension ref="A3:B8"/>
  <sheetViews>
    <sheetView workbookViewId="0">
      <selection activeCell="F20" sqref="F20"/>
    </sheetView>
  </sheetViews>
  <sheetFormatPr defaultRowHeight="15"/>
  <cols>
    <col min="1" max="1" width="13.140625" bestFit="1" customWidth="1"/>
    <col min="2" max="2" width="23" bestFit="1" customWidth="1"/>
  </cols>
  <sheetData>
    <row r="3" spans="1:2">
      <c r="A3" s="13" t="s">
        <v>32</v>
      </c>
      <c r="B3" t="s">
        <v>33</v>
      </c>
    </row>
    <row r="4" spans="1:2">
      <c r="A4" s="14" t="s">
        <v>34</v>
      </c>
      <c r="B4">
        <v>4</v>
      </c>
    </row>
    <row r="5" spans="1:2">
      <c r="A5" s="14" t="s">
        <v>35</v>
      </c>
      <c r="B5">
        <v>43</v>
      </c>
    </row>
    <row r="6" spans="1:2">
      <c r="A6" s="14" t="s">
        <v>36</v>
      </c>
      <c r="B6">
        <v>1</v>
      </c>
    </row>
    <row r="7" spans="1:2">
      <c r="A7" s="14" t="s">
        <v>37</v>
      </c>
      <c r="B7">
        <v>12</v>
      </c>
    </row>
    <row r="8" spans="1:2">
      <c r="A8" s="14" t="s">
        <v>38</v>
      </c>
      <c r="B8">
        <v>60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C8A05-AE47-4F7D-9BA0-0C284D416509}">
  <dimension ref="A3:B7"/>
  <sheetViews>
    <sheetView workbookViewId="0">
      <selection activeCell="I19" sqref="I19"/>
    </sheetView>
  </sheetViews>
  <sheetFormatPr defaultRowHeight="15"/>
  <cols>
    <col min="1" max="1" width="13.140625" bestFit="1" customWidth="1"/>
    <col min="2" max="2" width="23" bestFit="1" customWidth="1"/>
  </cols>
  <sheetData>
    <row r="3" spans="1:2">
      <c r="A3" s="13" t="s">
        <v>32</v>
      </c>
      <c r="B3" t="s">
        <v>33</v>
      </c>
    </row>
    <row r="4" spans="1:2">
      <c r="A4" s="14" t="s">
        <v>39</v>
      </c>
      <c r="B4">
        <v>14</v>
      </c>
    </row>
    <row r="5" spans="1:2">
      <c r="A5" s="14" t="s">
        <v>40</v>
      </c>
      <c r="B5">
        <v>16</v>
      </c>
    </row>
    <row r="6" spans="1:2">
      <c r="A6" s="14" t="s">
        <v>41</v>
      </c>
      <c r="B6">
        <v>30</v>
      </c>
    </row>
    <row r="7" spans="1:2">
      <c r="A7" s="14" t="s">
        <v>38</v>
      </c>
      <c r="B7">
        <v>60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5DE37-A3C1-4D39-AD1C-8678ABF1D612}">
  <dimension ref="A1:B6"/>
  <sheetViews>
    <sheetView workbookViewId="0">
      <selection activeCell="B5" sqref="B5"/>
    </sheetView>
  </sheetViews>
  <sheetFormatPr defaultRowHeight="15"/>
  <cols>
    <col min="1" max="1" width="24.140625" bestFit="1" customWidth="1"/>
    <col min="2" max="2" width="23" bestFit="1" customWidth="1"/>
  </cols>
  <sheetData>
    <row r="1" spans="1:2">
      <c r="A1" s="13" t="s">
        <v>32</v>
      </c>
      <c r="B1" t="s">
        <v>33</v>
      </c>
    </row>
    <row r="2" spans="1:2">
      <c r="A2" s="14" t="s">
        <v>42</v>
      </c>
      <c r="B2">
        <v>15</v>
      </c>
    </row>
    <row r="3" spans="1:2">
      <c r="A3" s="14" t="s">
        <v>43</v>
      </c>
      <c r="B3">
        <v>24</v>
      </c>
    </row>
    <row r="4" spans="1:2">
      <c r="A4" s="14" t="s">
        <v>44</v>
      </c>
      <c r="B4">
        <v>9</v>
      </c>
    </row>
    <row r="5" spans="1:2">
      <c r="A5" s="14" t="s">
        <v>45</v>
      </c>
      <c r="B5">
        <v>12</v>
      </c>
    </row>
    <row r="6" spans="1:2">
      <c r="A6" s="14" t="s">
        <v>38</v>
      </c>
      <c r="B6">
        <v>60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CE109-B976-4C50-9DBB-A035C5BF7074}">
  <dimension ref="A3:B6"/>
  <sheetViews>
    <sheetView workbookViewId="0">
      <selection activeCell="J1" sqref="J1"/>
    </sheetView>
  </sheetViews>
  <sheetFormatPr defaultRowHeight="15"/>
  <cols>
    <col min="1" max="1" width="13.140625" bestFit="1" customWidth="1"/>
    <col min="2" max="2" width="23" bestFit="1" customWidth="1"/>
  </cols>
  <sheetData>
    <row r="3" spans="1:2">
      <c r="A3" s="13" t="s">
        <v>32</v>
      </c>
      <c r="B3" t="s">
        <v>33</v>
      </c>
    </row>
    <row r="4" spans="1:2">
      <c r="A4" s="14" t="s">
        <v>46</v>
      </c>
      <c r="B4">
        <v>50</v>
      </c>
    </row>
    <row r="5" spans="1:2">
      <c r="A5" s="14" t="s">
        <v>47</v>
      </c>
      <c r="B5">
        <v>10</v>
      </c>
    </row>
    <row r="6" spans="1:2">
      <c r="A6" s="14" t="s">
        <v>38</v>
      </c>
      <c r="B6">
        <v>60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57884-E573-4DCA-B022-55A3C0837DB0}">
  <dimension ref="A3:B6"/>
  <sheetViews>
    <sheetView workbookViewId="0">
      <selection activeCell="I18" sqref="I18"/>
    </sheetView>
  </sheetViews>
  <sheetFormatPr defaultRowHeight="15"/>
  <cols>
    <col min="1" max="1" width="13.140625" bestFit="1" customWidth="1"/>
    <col min="2" max="2" width="23" bestFit="1" customWidth="1"/>
  </cols>
  <sheetData>
    <row r="3" spans="1:2">
      <c r="A3" s="13" t="s">
        <v>32</v>
      </c>
      <c r="B3" t="s">
        <v>33</v>
      </c>
    </row>
    <row r="4" spans="1:2">
      <c r="A4" s="14" t="s">
        <v>46</v>
      </c>
      <c r="B4">
        <v>10</v>
      </c>
    </row>
    <row r="5" spans="1:2">
      <c r="A5" s="14" t="s">
        <v>47</v>
      </c>
      <c r="B5">
        <v>50</v>
      </c>
    </row>
    <row r="6" spans="1:2">
      <c r="A6" s="14" t="s">
        <v>38</v>
      </c>
      <c r="B6">
        <v>60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E0AC0-5BB5-42BC-A4C8-C5D7519C8ED3}">
  <dimension ref="A3:B6"/>
  <sheetViews>
    <sheetView workbookViewId="0">
      <selection activeCell="I20" sqref="I20"/>
    </sheetView>
  </sheetViews>
  <sheetFormatPr defaultRowHeight="15"/>
  <cols>
    <col min="1" max="1" width="13.140625" bestFit="1" customWidth="1"/>
    <col min="2" max="2" width="23" bestFit="1" customWidth="1"/>
  </cols>
  <sheetData>
    <row r="3" spans="1:2">
      <c r="A3" s="13" t="s">
        <v>32</v>
      </c>
      <c r="B3" t="s">
        <v>33</v>
      </c>
    </row>
    <row r="4" spans="1:2">
      <c r="A4" s="14" t="s">
        <v>46</v>
      </c>
      <c r="B4">
        <v>6</v>
      </c>
    </row>
    <row r="5" spans="1:2">
      <c r="A5" s="14" t="s">
        <v>47</v>
      </c>
      <c r="B5">
        <v>54</v>
      </c>
    </row>
    <row r="6" spans="1:2">
      <c r="A6" s="14" t="s">
        <v>38</v>
      </c>
      <c r="B6">
        <v>60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0BAB4-2F98-44CD-A785-8BFB1FA4475E}">
  <dimension ref="A3:B9"/>
  <sheetViews>
    <sheetView workbookViewId="0">
      <selection activeCell="K6" sqref="K6"/>
    </sheetView>
  </sheetViews>
  <sheetFormatPr defaultRowHeight="15"/>
  <cols>
    <col min="1" max="1" width="53.42578125" bestFit="1" customWidth="1"/>
    <col min="2" max="2" width="23" bestFit="1" customWidth="1"/>
  </cols>
  <sheetData>
    <row r="3" spans="1:2">
      <c r="A3" s="13" t="s">
        <v>32</v>
      </c>
      <c r="B3" t="s">
        <v>33</v>
      </c>
    </row>
    <row r="4" spans="1:2">
      <c r="A4" s="14" t="s">
        <v>48</v>
      </c>
      <c r="B4">
        <v>33</v>
      </c>
    </row>
    <row r="5" spans="1:2">
      <c r="A5" s="14" t="s">
        <v>49</v>
      </c>
      <c r="B5">
        <v>13</v>
      </c>
    </row>
    <row r="6" spans="1:2">
      <c r="A6" s="14" t="s">
        <v>50</v>
      </c>
      <c r="B6">
        <v>3</v>
      </c>
    </row>
    <row r="7" spans="1:2">
      <c r="A7" s="14" t="s">
        <v>51</v>
      </c>
      <c r="B7">
        <v>1</v>
      </c>
    </row>
    <row r="8" spans="1:2">
      <c r="A8" s="14" t="s">
        <v>52</v>
      </c>
      <c r="B8">
        <v>10</v>
      </c>
    </row>
    <row r="9" spans="1:2">
      <c r="A9" s="14" t="s">
        <v>38</v>
      </c>
      <c r="B9">
        <v>60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517C4-39D4-48C6-95B7-3D08753D31AF}">
  <dimension ref="A1:B8"/>
  <sheetViews>
    <sheetView workbookViewId="0">
      <selection activeCell="F22" sqref="F22"/>
    </sheetView>
  </sheetViews>
  <sheetFormatPr defaultRowHeight="15"/>
  <cols>
    <col min="1" max="1" width="45.28515625" bestFit="1" customWidth="1"/>
    <col min="2" max="2" width="23" bestFit="1" customWidth="1"/>
  </cols>
  <sheetData>
    <row r="1" spans="1:2">
      <c r="A1" s="13" t="s">
        <v>53</v>
      </c>
      <c r="B1" t="s">
        <v>54</v>
      </c>
    </row>
    <row r="3" spans="1:2">
      <c r="A3" s="13" t="s">
        <v>32</v>
      </c>
      <c r="B3" t="s">
        <v>33</v>
      </c>
    </row>
    <row r="4" spans="1:2">
      <c r="A4" s="14" t="s">
        <v>55</v>
      </c>
      <c r="B4">
        <v>1</v>
      </c>
    </row>
    <row r="5" spans="1:2">
      <c r="A5" s="14" t="s">
        <v>56</v>
      </c>
      <c r="B5">
        <v>27</v>
      </c>
    </row>
    <row r="6" spans="1:2">
      <c r="A6" s="14" t="s">
        <v>57</v>
      </c>
      <c r="B6">
        <v>13</v>
      </c>
    </row>
    <row r="7" spans="1:2">
      <c r="A7" s="14" t="s">
        <v>58</v>
      </c>
      <c r="B7">
        <v>19</v>
      </c>
    </row>
    <row r="8" spans="1:2">
      <c r="A8" s="14" t="s">
        <v>38</v>
      </c>
      <c r="B8">
        <v>60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CA58B-DC49-4F2C-AA25-A1BA4B5BB77D}">
  <dimension ref="A3:F9"/>
  <sheetViews>
    <sheetView workbookViewId="0">
      <selection activeCell="J7" sqref="J7"/>
    </sheetView>
  </sheetViews>
  <sheetFormatPr defaultRowHeight="15"/>
  <cols>
    <col min="1" max="1" width="23" bestFit="1" customWidth="1"/>
    <col min="2" max="2" width="16.28515625" bestFit="1" customWidth="1"/>
    <col min="3" max="3" width="11" bestFit="1" customWidth="1"/>
    <col min="4" max="4" width="6.5703125" bestFit="1" customWidth="1"/>
    <col min="5" max="5" width="9" bestFit="1" customWidth="1"/>
    <col min="6" max="6" width="11.28515625" bestFit="1" customWidth="1"/>
  </cols>
  <sheetData>
    <row r="3" spans="1:6">
      <c r="A3" s="13" t="s">
        <v>33</v>
      </c>
      <c r="B3" s="13" t="s">
        <v>59</v>
      </c>
    </row>
    <row r="4" spans="1:6">
      <c r="A4" s="13" t="s">
        <v>60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</row>
    <row r="5" spans="1:6">
      <c r="A5" s="14" t="s">
        <v>61</v>
      </c>
      <c r="B5">
        <v>1</v>
      </c>
      <c r="C5">
        <v>34</v>
      </c>
      <c r="D5">
        <v>1</v>
      </c>
      <c r="E5">
        <v>6</v>
      </c>
      <c r="F5">
        <v>42</v>
      </c>
    </row>
    <row r="6" spans="1:6">
      <c r="A6" s="14" t="s">
        <v>62</v>
      </c>
      <c r="C6">
        <v>3</v>
      </c>
      <c r="E6">
        <v>3</v>
      </c>
      <c r="F6">
        <v>6</v>
      </c>
    </row>
    <row r="7" spans="1:6">
      <c r="A7" s="14" t="s">
        <v>63</v>
      </c>
      <c r="C7">
        <v>4</v>
      </c>
      <c r="E7">
        <v>2</v>
      </c>
      <c r="F7">
        <v>6</v>
      </c>
    </row>
    <row r="8" spans="1:6">
      <c r="A8" s="14" t="s">
        <v>64</v>
      </c>
      <c r="B8">
        <v>3</v>
      </c>
      <c r="C8">
        <v>2</v>
      </c>
      <c r="E8">
        <v>1</v>
      </c>
      <c r="F8">
        <v>6</v>
      </c>
    </row>
    <row r="9" spans="1:6">
      <c r="A9" s="14" t="s">
        <v>38</v>
      </c>
      <c r="B9">
        <v>4</v>
      </c>
      <c r="C9">
        <v>43</v>
      </c>
      <c r="D9">
        <v>1</v>
      </c>
      <c r="E9">
        <v>12</v>
      </c>
      <c r="F9">
        <v>60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4411B-2FC9-47F0-9B2A-1A48AE34E198}">
  <dimension ref="A3:D7"/>
  <sheetViews>
    <sheetView workbookViewId="0">
      <selection activeCell="B22" sqref="B22"/>
    </sheetView>
  </sheetViews>
  <sheetFormatPr defaultRowHeight="15"/>
  <cols>
    <col min="1" max="1" width="23" bestFit="1" customWidth="1"/>
    <col min="2" max="2" width="16.28515625" bestFit="1" customWidth="1"/>
    <col min="3" max="3" width="4.140625" bestFit="1" customWidth="1"/>
    <col min="4" max="4" width="11.28515625" bestFit="1" customWidth="1"/>
  </cols>
  <sheetData>
    <row r="3" spans="1:4">
      <c r="A3" s="13" t="s">
        <v>33</v>
      </c>
      <c r="B3" s="13" t="s">
        <v>59</v>
      </c>
    </row>
    <row r="4" spans="1:4">
      <c r="A4" s="13" t="s">
        <v>32</v>
      </c>
      <c r="B4" t="s">
        <v>46</v>
      </c>
      <c r="C4" t="s">
        <v>47</v>
      </c>
      <c r="D4" t="s">
        <v>38</v>
      </c>
    </row>
    <row r="5" spans="1:4">
      <c r="A5" s="14" t="s">
        <v>46</v>
      </c>
      <c r="B5">
        <v>5</v>
      </c>
      <c r="C5">
        <v>45</v>
      </c>
      <c r="D5">
        <v>50</v>
      </c>
    </row>
    <row r="6" spans="1:4">
      <c r="A6" s="14" t="s">
        <v>47</v>
      </c>
      <c r="B6">
        <v>5</v>
      </c>
      <c r="C6">
        <v>5</v>
      </c>
      <c r="D6">
        <v>10</v>
      </c>
    </row>
    <row r="7" spans="1:4">
      <c r="A7" s="14" t="s">
        <v>38</v>
      </c>
      <c r="B7">
        <v>10</v>
      </c>
      <c r="C7">
        <v>50</v>
      </c>
      <c r="D7">
        <v>60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2E33E-92DC-4990-87F7-02373DDF5C97}">
  <dimension ref="A3:E9"/>
  <sheetViews>
    <sheetView workbookViewId="0">
      <selection activeCell="D12" sqref="D12"/>
    </sheetView>
  </sheetViews>
  <sheetFormatPr defaultRowHeight="15"/>
  <cols>
    <col min="1" max="1" width="24.140625" bestFit="1" customWidth="1"/>
    <col min="2" max="2" width="16.28515625" bestFit="1" customWidth="1"/>
    <col min="3" max="3" width="9.42578125" bestFit="1" customWidth="1"/>
    <col min="4" max="4" width="5.42578125" bestFit="1" customWidth="1"/>
    <col min="5" max="5" width="11.28515625" bestFit="1" customWidth="1"/>
  </cols>
  <sheetData>
    <row r="3" spans="1:5">
      <c r="A3" s="13" t="s">
        <v>33</v>
      </c>
      <c r="B3" s="13" t="s">
        <v>59</v>
      </c>
    </row>
    <row r="4" spans="1:5">
      <c r="A4" s="13" t="s">
        <v>65</v>
      </c>
      <c r="B4" t="s">
        <v>39</v>
      </c>
      <c r="C4" t="s">
        <v>40</v>
      </c>
      <c r="D4" t="s">
        <v>41</v>
      </c>
      <c r="E4" t="s">
        <v>38</v>
      </c>
    </row>
    <row r="5" spans="1:5">
      <c r="A5" s="14" t="s">
        <v>42</v>
      </c>
      <c r="B5">
        <v>3</v>
      </c>
      <c r="C5">
        <v>6</v>
      </c>
      <c r="D5">
        <v>6</v>
      </c>
      <c r="E5">
        <v>15</v>
      </c>
    </row>
    <row r="6" spans="1:5">
      <c r="A6" s="14" t="s">
        <v>43</v>
      </c>
      <c r="B6">
        <v>5</v>
      </c>
      <c r="C6">
        <v>4</v>
      </c>
      <c r="D6">
        <v>15</v>
      </c>
      <c r="E6">
        <v>24</v>
      </c>
    </row>
    <row r="7" spans="1:5">
      <c r="A7" s="14" t="s">
        <v>44</v>
      </c>
      <c r="B7">
        <v>3</v>
      </c>
      <c r="C7">
        <v>2</v>
      </c>
      <c r="D7">
        <v>4</v>
      </c>
      <c r="E7">
        <v>9</v>
      </c>
    </row>
    <row r="8" spans="1:5">
      <c r="A8" s="14" t="s">
        <v>45</v>
      </c>
      <c r="B8">
        <v>3</v>
      </c>
      <c r="C8">
        <v>4</v>
      </c>
      <c r="D8">
        <v>5</v>
      </c>
      <c r="E8">
        <v>12</v>
      </c>
    </row>
    <row r="9" spans="1:5">
      <c r="A9" s="14" t="s">
        <v>38</v>
      </c>
      <c r="B9">
        <v>14</v>
      </c>
      <c r="C9">
        <v>16</v>
      </c>
      <c r="D9">
        <v>30</v>
      </c>
      <c r="E9">
        <v>60</v>
      </c>
    </row>
  </sheetData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E831D-0C1F-47FF-94E1-6D0C1DFEA510}">
  <dimension ref="A3:F9"/>
  <sheetViews>
    <sheetView workbookViewId="0">
      <selection activeCell="H19" sqref="H19"/>
    </sheetView>
  </sheetViews>
  <sheetFormatPr defaultRowHeight="15"/>
  <cols>
    <col min="1" max="1" width="45.28515625" bestFit="1" customWidth="1"/>
    <col min="2" max="2" width="16.28515625" bestFit="1" customWidth="1"/>
    <col min="3" max="3" width="5.7109375" bestFit="1" customWidth="1"/>
    <col min="5" max="5" width="9" bestFit="1" customWidth="1"/>
    <col min="6" max="6" width="11.28515625" bestFit="1" customWidth="1"/>
  </cols>
  <sheetData>
    <row r="3" spans="1:6">
      <c r="A3" s="13" t="s">
        <v>33</v>
      </c>
      <c r="B3" s="13" t="s">
        <v>59</v>
      </c>
    </row>
    <row r="4" spans="1:6">
      <c r="A4" s="13" t="s">
        <v>32</v>
      </c>
      <c r="B4" t="s">
        <v>61</v>
      </c>
      <c r="C4" t="s">
        <v>62</v>
      </c>
      <c r="D4" t="s">
        <v>63</v>
      </c>
      <c r="E4" t="s">
        <v>64</v>
      </c>
      <c r="F4" t="s">
        <v>38</v>
      </c>
    </row>
    <row r="5" spans="1:6">
      <c r="A5" s="14" t="s">
        <v>55</v>
      </c>
      <c r="C5">
        <v>1</v>
      </c>
      <c r="F5">
        <v>1</v>
      </c>
    </row>
    <row r="6" spans="1:6">
      <c r="A6" s="14" t="s">
        <v>56</v>
      </c>
      <c r="B6">
        <v>19</v>
      </c>
      <c r="C6">
        <v>3</v>
      </c>
      <c r="D6">
        <v>3</v>
      </c>
      <c r="E6">
        <v>2</v>
      </c>
      <c r="F6">
        <v>27</v>
      </c>
    </row>
    <row r="7" spans="1:6">
      <c r="A7" s="14" t="s">
        <v>57</v>
      </c>
      <c r="B7">
        <v>12</v>
      </c>
      <c r="C7">
        <v>1</v>
      </c>
      <c r="F7">
        <v>13</v>
      </c>
    </row>
    <row r="8" spans="1:6">
      <c r="A8" s="14" t="s">
        <v>58</v>
      </c>
      <c r="B8">
        <v>11</v>
      </c>
      <c r="C8">
        <v>1</v>
      </c>
      <c r="D8">
        <v>3</v>
      </c>
      <c r="E8">
        <v>4</v>
      </c>
      <c r="F8">
        <v>19</v>
      </c>
    </row>
    <row r="9" spans="1:6">
      <c r="A9" s="14" t="s">
        <v>38</v>
      </c>
      <c r="B9">
        <v>42</v>
      </c>
      <c r="C9">
        <v>6</v>
      </c>
      <c r="D9">
        <v>6</v>
      </c>
      <c r="E9">
        <v>6</v>
      </c>
      <c r="F9">
        <v>60</v>
      </c>
    </row>
  </sheetData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92DAB-6D10-4382-94FA-BBA015730607}">
  <dimension ref="A1:B13"/>
  <sheetViews>
    <sheetView workbookViewId="0">
      <selection activeCell="B4" sqref="B4"/>
    </sheetView>
  </sheetViews>
  <sheetFormatPr defaultRowHeight="15"/>
  <cols>
    <col min="1" max="1" width="40.5703125" bestFit="1" customWidth="1"/>
  </cols>
  <sheetData>
    <row r="1" spans="1:2">
      <c r="A1" s="38" t="s">
        <v>66</v>
      </c>
      <c r="B1" s="38"/>
    </row>
    <row r="2" spans="1:2">
      <c r="A2" s="20" t="s">
        <v>67</v>
      </c>
      <c r="B2" s="21">
        <f>COUNTA(tbl_UPI[Respondent_ID])</f>
        <v>60</v>
      </c>
    </row>
    <row r="3" spans="1:2">
      <c r="A3" s="20" t="s">
        <v>68</v>
      </c>
      <c r="B3" s="22">
        <f>COUNTIF(tbl_UPI[Uses_UPI],"Yes")/COUNTA(tbl_UPI[Respondent_ID])</f>
        <v>0.95</v>
      </c>
    </row>
    <row r="4" spans="1:2">
      <c r="A4" s="20" t="s">
        <v>69</v>
      </c>
      <c r="B4" s="21" t="s">
        <v>70</v>
      </c>
    </row>
    <row r="5" spans="1:2">
      <c r="A5" s="20" t="s">
        <v>71</v>
      </c>
      <c r="B5" s="22">
        <f>COUNTIF(tbl_UPI[Perceive_Secure],"Yes") / COUNTA(tbl_UPI[Perceive_Secure])</f>
        <v>0.83333333333333337</v>
      </c>
    </row>
    <row r="6" spans="1:2">
      <c r="A6" s="20" t="s">
        <v>72</v>
      </c>
      <c r="B6" s="22">
        <v>0.17</v>
      </c>
    </row>
    <row r="13" spans="1:2">
      <c r="B13" s="10"/>
    </row>
  </sheetData>
  <mergeCells count="1">
    <mergeCell ref="A1:B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5B403-E5AA-4392-8657-0E8748601F5D}">
  <dimension ref="A1:P61"/>
  <sheetViews>
    <sheetView tabSelected="1" topLeftCell="E1" zoomScale="115" zoomScaleNormal="115" workbookViewId="0">
      <selection activeCell="H20" sqref="H20"/>
    </sheetView>
  </sheetViews>
  <sheetFormatPr defaultColWidth="41.28515625" defaultRowHeight="12.75"/>
  <cols>
    <col min="1" max="1" width="24" style="1" bestFit="1" customWidth="1"/>
    <col min="2" max="2" width="19.140625" style="1" bestFit="1" customWidth="1"/>
    <col min="3" max="3" width="30.85546875" style="1" bestFit="1" customWidth="1"/>
    <col min="4" max="4" width="41" style="1" bestFit="1" customWidth="1"/>
    <col min="5" max="5" width="19" style="1" bestFit="1" customWidth="1"/>
    <col min="6" max="6" width="16.85546875" style="1" bestFit="1" customWidth="1"/>
    <col min="7" max="7" width="20.42578125" style="1" bestFit="1" customWidth="1"/>
    <col min="8" max="8" width="24" style="1" bestFit="1" customWidth="1"/>
    <col min="9" max="9" width="24" style="1" customWidth="1"/>
    <col min="10" max="10" width="28.7109375" style="1" bestFit="1" customWidth="1"/>
    <col min="11" max="11" width="19.5703125" style="1" bestFit="1" customWidth="1"/>
    <col min="12" max="13" width="26.5703125" style="1" bestFit="1" customWidth="1"/>
    <col min="14" max="14" width="61" style="1" bestFit="1" customWidth="1"/>
    <col min="15" max="15" width="50.42578125" style="1" bestFit="1" customWidth="1"/>
    <col min="16" max="16" width="146" style="1" bestFit="1" customWidth="1"/>
    <col min="17" max="16384" width="41.28515625" style="1"/>
  </cols>
  <sheetData>
    <row r="1" spans="1:16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53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</row>
    <row r="2" spans="1:16">
      <c r="A2" s="1">
        <v>1</v>
      </c>
      <c r="B2" s="8">
        <v>45955.796875</v>
      </c>
      <c r="C2" s="1" t="s">
        <v>88</v>
      </c>
      <c r="D2" s="1" t="s">
        <v>89</v>
      </c>
      <c r="E2" s="1" t="s">
        <v>61</v>
      </c>
      <c r="F2" s="1" t="s">
        <v>47</v>
      </c>
      <c r="G2" s="1" t="s">
        <v>35</v>
      </c>
      <c r="H2" s="1" t="s">
        <v>40</v>
      </c>
      <c r="I2" s="1" t="str">
        <f>TRIM(tbl_UPI[[#This Row],[Freq_per_week]])</f>
        <v>3-5 Times</v>
      </c>
      <c r="J2" s="1" t="s">
        <v>45</v>
      </c>
      <c r="K2" s="1" t="s">
        <v>46</v>
      </c>
      <c r="L2" s="1" t="s">
        <v>47</v>
      </c>
      <c r="M2" s="1" t="s">
        <v>47</v>
      </c>
      <c r="N2" s="1" t="s">
        <v>52</v>
      </c>
      <c r="O2" s="1" t="s">
        <v>56</v>
      </c>
      <c r="P2" s="1" t="s">
        <v>90</v>
      </c>
    </row>
    <row r="3" spans="1:16">
      <c r="A3" s="1">
        <v>2</v>
      </c>
      <c r="B3" s="8">
        <v>45955.797788171294</v>
      </c>
      <c r="C3" s="1" t="s">
        <v>91</v>
      </c>
      <c r="D3" s="1" t="s">
        <v>92</v>
      </c>
      <c r="E3" s="1" t="s">
        <v>61</v>
      </c>
      <c r="F3" s="1" t="s">
        <v>47</v>
      </c>
      <c r="G3" s="1" t="s">
        <v>37</v>
      </c>
      <c r="H3" s="1" t="s">
        <v>40</v>
      </c>
      <c r="I3" s="1" t="str">
        <f>TRIM(tbl_UPI[[#This Row],[Freq_per_week]])</f>
        <v>3-5 Times</v>
      </c>
      <c r="J3" s="1" t="s">
        <v>44</v>
      </c>
      <c r="K3" s="1" t="s">
        <v>46</v>
      </c>
      <c r="L3" s="1" t="s">
        <v>47</v>
      </c>
      <c r="M3" s="1" t="s">
        <v>47</v>
      </c>
      <c r="N3" s="1" t="s">
        <v>48</v>
      </c>
      <c r="O3" s="1" t="s">
        <v>57</v>
      </c>
      <c r="P3" s="1" t="s">
        <v>90</v>
      </c>
    </row>
    <row r="4" spans="1:16" ht="38.25">
      <c r="A4" s="1">
        <v>3</v>
      </c>
      <c r="B4" s="8">
        <v>45955.803057962963</v>
      </c>
      <c r="C4" s="1" t="s">
        <v>93</v>
      </c>
      <c r="D4" s="1" t="s">
        <v>94</v>
      </c>
      <c r="E4" s="1" t="s">
        <v>61</v>
      </c>
      <c r="F4" s="1" t="s">
        <v>47</v>
      </c>
      <c r="G4" s="1" t="s">
        <v>35</v>
      </c>
      <c r="H4" s="1" t="s">
        <v>41</v>
      </c>
      <c r="I4" s="1" t="str">
        <f>TRIM(tbl_UPI[[#This Row],[Freq_per_week]])</f>
        <v>Daily</v>
      </c>
      <c r="J4" s="1" t="s">
        <v>45</v>
      </c>
      <c r="K4" s="1" t="s">
        <v>46</v>
      </c>
      <c r="L4" s="1" t="s">
        <v>47</v>
      </c>
      <c r="M4" s="1" t="s">
        <v>47</v>
      </c>
      <c r="N4" s="1" t="s">
        <v>48</v>
      </c>
      <c r="O4" s="1" t="s">
        <v>56</v>
      </c>
      <c r="P4" s="9" t="s">
        <v>95</v>
      </c>
    </row>
    <row r="5" spans="1:16">
      <c r="A5" s="1">
        <v>4</v>
      </c>
      <c r="B5" s="8">
        <v>45955.804907407408</v>
      </c>
      <c r="C5" s="1" t="s">
        <v>96</v>
      </c>
      <c r="D5" s="1" t="s">
        <v>89</v>
      </c>
      <c r="E5" s="1" t="s">
        <v>61</v>
      </c>
      <c r="F5" s="1" t="s">
        <v>47</v>
      </c>
      <c r="G5" s="1" t="s">
        <v>35</v>
      </c>
      <c r="H5" s="1" t="s">
        <v>39</v>
      </c>
      <c r="I5" s="1" t="str">
        <f>TRIM(tbl_UPI[[#This Row],[Freq_per_week]])</f>
        <v>1-2 Times</v>
      </c>
      <c r="J5" s="1" t="s">
        <v>42</v>
      </c>
      <c r="K5" s="1" t="s">
        <v>46</v>
      </c>
      <c r="L5" s="1" t="s">
        <v>46</v>
      </c>
      <c r="M5" s="1" t="s">
        <v>47</v>
      </c>
      <c r="N5" s="1" t="s">
        <v>52</v>
      </c>
      <c r="O5" s="1" t="s">
        <v>56</v>
      </c>
      <c r="P5" s="1" t="s">
        <v>90</v>
      </c>
    </row>
    <row r="6" spans="1:16">
      <c r="A6" s="1">
        <v>5</v>
      </c>
      <c r="B6" s="8">
        <v>45955.805817511573</v>
      </c>
      <c r="C6" s="1" t="s">
        <v>97</v>
      </c>
      <c r="D6" s="1" t="s">
        <v>98</v>
      </c>
      <c r="E6" s="1" t="s">
        <v>61</v>
      </c>
      <c r="F6" s="1" t="s">
        <v>47</v>
      </c>
      <c r="G6" s="1" t="s">
        <v>34</v>
      </c>
      <c r="H6" s="1" t="s">
        <v>40</v>
      </c>
      <c r="I6" s="1" t="str">
        <f>TRIM(tbl_UPI[[#This Row],[Freq_per_week]])</f>
        <v>3-5 Times</v>
      </c>
      <c r="J6" s="1" t="s">
        <v>43</v>
      </c>
      <c r="K6" s="1" t="s">
        <v>46</v>
      </c>
      <c r="L6" s="1" t="s">
        <v>47</v>
      </c>
      <c r="M6" s="1" t="s">
        <v>47</v>
      </c>
      <c r="N6" s="1" t="s">
        <v>52</v>
      </c>
      <c r="O6" s="1" t="s">
        <v>58</v>
      </c>
      <c r="P6" s="1" t="s">
        <v>90</v>
      </c>
    </row>
    <row r="7" spans="1:16">
      <c r="A7" s="1">
        <v>6</v>
      </c>
      <c r="B7" s="8">
        <v>45955.805877592589</v>
      </c>
      <c r="C7" s="1" t="s">
        <v>99</v>
      </c>
      <c r="D7" s="1" t="s">
        <v>100</v>
      </c>
      <c r="E7" s="1" t="s">
        <v>61</v>
      </c>
      <c r="F7" s="1" t="s">
        <v>47</v>
      </c>
      <c r="G7" s="1" t="s">
        <v>35</v>
      </c>
      <c r="H7" s="1" t="s">
        <v>40</v>
      </c>
      <c r="I7" s="1" t="str">
        <f>TRIM(tbl_UPI[[#This Row],[Freq_per_week]])</f>
        <v>3-5 Times</v>
      </c>
      <c r="J7" s="1" t="s">
        <v>45</v>
      </c>
      <c r="K7" s="1" t="s">
        <v>46</v>
      </c>
      <c r="L7" s="1" t="s">
        <v>47</v>
      </c>
      <c r="M7" s="1" t="s">
        <v>47</v>
      </c>
      <c r="N7" s="1" t="s">
        <v>48</v>
      </c>
      <c r="O7" s="1" t="s">
        <v>56</v>
      </c>
      <c r="P7" s="1" t="s">
        <v>90</v>
      </c>
    </row>
    <row r="8" spans="1:16">
      <c r="A8" s="1">
        <v>7</v>
      </c>
      <c r="B8" s="8">
        <v>45955.807959085651</v>
      </c>
      <c r="C8" s="1" t="s">
        <v>101</v>
      </c>
      <c r="D8" s="1" t="s">
        <v>102</v>
      </c>
      <c r="E8" s="1" t="s">
        <v>61</v>
      </c>
      <c r="F8" s="1" t="s">
        <v>47</v>
      </c>
      <c r="G8" s="1" t="s">
        <v>35</v>
      </c>
      <c r="H8" s="1" t="s">
        <v>39</v>
      </c>
      <c r="I8" s="1" t="str">
        <f>TRIM(tbl_UPI[[#This Row],[Freq_per_week]])</f>
        <v>1-2 Times</v>
      </c>
      <c r="J8" s="1" t="s">
        <v>42</v>
      </c>
      <c r="K8" s="1" t="s">
        <v>47</v>
      </c>
      <c r="L8" s="1" t="s">
        <v>46</v>
      </c>
      <c r="M8" s="1" t="s">
        <v>47</v>
      </c>
      <c r="N8" s="1" t="s">
        <v>49</v>
      </c>
      <c r="O8" s="1" t="s">
        <v>57</v>
      </c>
      <c r="P8" s="1" t="s">
        <v>90</v>
      </c>
    </row>
    <row r="9" spans="1:16">
      <c r="A9" s="1">
        <v>8</v>
      </c>
      <c r="B9" s="8">
        <v>45955.808638854163</v>
      </c>
      <c r="C9" s="1" t="s">
        <v>103</v>
      </c>
      <c r="D9" s="1" t="s">
        <v>104</v>
      </c>
      <c r="E9" s="1" t="s">
        <v>61</v>
      </c>
      <c r="F9" s="1" t="s">
        <v>47</v>
      </c>
      <c r="G9" s="1" t="s">
        <v>35</v>
      </c>
      <c r="H9" s="1" t="s">
        <v>41</v>
      </c>
      <c r="I9" s="1" t="str">
        <f>TRIM(tbl_UPI[[#This Row],[Freq_per_week]])</f>
        <v>Daily</v>
      </c>
      <c r="J9" s="1" t="s">
        <v>42</v>
      </c>
      <c r="K9" s="1" t="s">
        <v>46</v>
      </c>
      <c r="L9" s="1" t="s">
        <v>47</v>
      </c>
      <c r="M9" s="1" t="s">
        <v>47</v>
      </c>
      <c r="N9" s="1" t="s">
        <v>48</v>
      </c>
      <c r="O9" s="1" t="s">
        <v>56</v>
      </c>
      <c r="P9" s="1" t="s">
        <v>105</v>
      </c>
    </row>
    <row r="10" spans="1:16">
      <c r="A10" s="1">
        <v>9</v>
      </c>
      <c r="B10" s="8">
        <v>45955.808697476852</v>
      </c>
      <c r="C10" s="1" t="s">
        <v>106</v>
      </c>
      <c r="D10" s="1" t="s">
        <v>107</v>
      </c>
      <c r="E10" s="1" t="s">
        <v>61</v>
      </c>
      <c r="F10" s="1" t="s">
        <v>47</v>
      </c>
      <c r="G10" s="1" t="s">
        <v>36</v>
      </c>
      <c r="H10" s="1" t="s">
        <v>41</v>
      </c>
      <c r="I10" s="1" t="str">
        <f>TRIM(tbl_UPI[[#This Row],[Freq_per_week]])</f>
        <v>Daily</v>
      </c>
      <c r="J10" s="1" t="s">
        <v>43</v>
      </c>
      <c r="K10" s="1" t="s">
        <v>46</v>
      </c>
      <c r="L10" s="1" t="s">
        <v>47</v>
      </c>
      <c r="M10" s="1" t="s">
        <v>47</v>
      </c>
      <c r="N10" s="1" t="s">
        <v>48</v>
      </c>
      <c r="O10" s="1" t="s">
        <v>56</v>
      </c>
      <c r="P10" s="1" t="s">
        <v>108</v>
      </c>
    </row>
    <row r="11" spans="1:16">
      <c r="A11" s="1">
        <v>10</v>
      </c>
      <c r="B11" s="8">
        <v>45955.80971454861</v>
      </c>
      <c r="C11" s="1" t="s">
        <v>109</v>
      </c>
      <c r="D11" s="1" t="s">
        <v>110</v>
      </c>
      <c r="E11" s="1" t="s">
        <v>64</v>
      </c>
      <c r="F11" s="1" t="s">
        <v>47</v>
      </c>
      <c r="G11" s="1" t="s">
        <v>37</v>
      </c>
      <c r="H11" s="1" t="s">
        <v>39</v>
      </c>
      <c r="I11" s="1" t="str">
        <f>TRIM(tbl_UPI[[#This Row],[Freq_per_week]])</f>
        <v>1-2 Times</v>
      </c>
      <c r="J11" s="1" t="s">
        <v>45</v>
      </c>
      <c r="K11" s="1" t="s">
        <v>47</v>
      </c>
      <c r="L11" s="1" t="s">
        <v>47</v>
      </c>
      <c r="M11" s="1" t="s">
        <v>46</v>
      </c>
      <c r="N11" s="1" t="s">
        <v>50</v>
      </c>
      <c r="O11" s="1" t="s">
        <v>58</v>
      </c>
      <c r="P11" s="1" t="s">
        <v>90</v>
      </c>
    </row>
    <row r="12" spans="1:16">
      <c r="A12" s="1">
        <v>11</v>
      </c>
      <c r="B12" s="8">
        <v>45955.811651053242</v>
      </c>
      <c r="C12" s="1" t="s">
        <v>111</v>
      </c>
      <c r="D12" s="1" t="s">
        <v>112</v>
      </c>
      <c r="E12" s="1" t="s">
        <v>61</v>
      </c>
      <c r="F12" s="1" t="s">
        <v>47</v>
      </c>
      <c r="G12" s="1" t="s">
        <v>35</v>
      </c>
      <c r="H12" s="1" t="s">
        <v>41</v>
      </c>
      <c r="I12" s="1" t="str">
        <f>TRIM(tbl_UPI[[#This Row],[Freq_per_week]])</f>
        <v>Daily</v>
      </c>
      <c r="J12" s="1" t="s">
        <v>43</v>
      </c>
      <c r="K12" s="1" t="s">
        <v>46</v>
      </c>
      <c r="L12" s="1" t="s">
        <v>47</v>
      </c>
      <c r="M12" s="1" t="s">
        <v>47</v>
      </c>
      <c r="N12" s="1" t="s">
        <v>48</v>
      </c>
      <c r="O12" s="1" t="s">
        <v>57</v>
      </c>
      <c r="P12" s="1" t="s">
        <v>113</v>
      </c>
    </row>
    <row r="13" spans="1:16">
      <c r="A13" s="1">
        <v>12</v>
      </c>
      <c r="B13" s="8">
        <v>45955.814545254631</v>
      </c>
      <c r="C13" s="1" t="s">
        <v>114</v>
      </c>
      <c r="D13" s="1" t="s">
        <v>115</v>
      </c>
      <c r="E13" s="1" t="s">
        <v>61</v>
      </c>
      <c r="F13" s="1" t="s">
        <v>47</v>
      </c>
      <c r="G13" s="1" t="s">
        <v>37</v>
      </c>
      <c r="H13" s="1" t="s">
        <v>41</v>
      </c>
      <c r="I13" s="1" t="str">
        <f>TRIM(tbl_UPI[[#This Row],[Freq_per_week]])</f>
        <v>Daily</v>
      </c>
      <c r="J13" s="1" t="s">
        <v>45</v>
      </c>
      <c r="K13" s="1" t="s">
        <v>46</v>
      </c>
      <c r="L13" s="1" t="s">
        <v>47</v>
      </c>
      <c r="M13" s="1" t="s">
        <v>47</v>
      </c>
      <c r="N13" s="1" t="s">
        <v>49</v>
      </c>
      <c r="O13" s="1" t="s">
        <v>56</v>
      </c>
      <c r="P13" s="1" t="s">
        <v>116</v>
      </c>
    </row>
    <row r="14" spans="1:16">
      <c r="A14" s="1">
        <v>13</v>
      </c>
      <c r="B14" s="8">
        <v>45955.815902118055</v>
      </c>
      <c r="C14" s="1" t="s">
        <v>117</v>
      </c>
      <c r="D14" s="1" t="s">
        <v>118</v>
      </c>
      <c r="E14" s="1" t="s">
        <v>63</v>
      </c>
      <c r="F14" s="1" t="s">
        <v>47</v>
      </c>
      <c r="G14" s="1" t="s">
        <v>35</v>
      </c>
      <c r="H14" s="1" t="s">
        <v>41</v>
      </c>
      <c r="I14" s="1" t="str">
        <f>TRIM(tbl_UPI[[#This Row],[Freq_per_week]])</f>
        <v>Daily</v>
      </c>
      <c r="J14" s="1" t="s">
        <v>43</v>
      </c>
      <c r="K14" s="1" t="s">
        <v>46</v>
      </c>
      <c r="L14" s="1" t="s">
        <v>47</v>
      </c>
      <c r="M14" s="1" t="s">
        <v>47</v>
      </c>
      <c r="N14" s="1" t="s">
        <v>48</v>
      </c>
      <c r="O14" s="1" t="s">
        <v>56</v>
      </c>
      <c r="P14" s="1" t="s">
        <v>90</v>
      </c>
    </row>
    <row r="15" spans="1:16">
      <c r="A15" s="1">
        <v>14</v>
      </c>
      <c r="B15" s="8">
        <v>45955.819725046298</v>
      </c>
      <c r="C15" s="1" t="s">
        <v>119</v>
      </c>
      <c r="D15" s="1" t="s">
        <v>120</v>
      </c>
      <c r="E15" s="1" t="s">
        <v>61</v>
      </c>
      <c r="F15" s="1" t="s">
        <v>47</v>
      </c>
      <c r="G15" s="1" t="s">
        <v>35</v>
      </c>
      <c r="H15" s="1" t="s">
        <v>39</v>
      </c>
      <c r="I15" s="1" t="str">
        <f>TRIM(tbl_UPI[[#This Row],[Freq_per_week]])</f>
        <v>1-2 Times</v>
      </c>
      <c r="J15" s="1" t="s">
        <v>43</v>
      </c>
      <c r="K15" s="1" t="s">
        <v>46</v>
      </c>
      <c r="L15" s="1" t="s">
        <v>47</v>
      </c>
      <c r="M15" s="1" t="s">
        <v>47</v>
      </c>
      <c r="N15" s="1" t="s">
        <v>52</v>
      </c>
      <c r="O15" s="1" t="s">
        <v>56</v>
      </c>
      <c r="P15" s="1" t="s">
        <v>90</v>
      </c>
    </row>
    <row r="16" spans="1:16">
      <c r="A16" s="1">
        <v>15</v>
      </c>
      <c r="B16" s="8">
        <v>45955.828903715279</v>
      </c>
      <c r="C16" s="1" t="s">
        <v>121</v>
      </c>
      <c r="D16" s="1" t="s">
        <v>122</v>
      </c>
      <c r="E16" s="1" t="s">
        <v>64</v>
      </c>
      <c r="F16" s="1" t="s">
        <v>47</v>
      </c>
      <c r="G16" s="1" t="s">
        <v>34</v>
      </c>
      <c r="H16" s="1" t="s">
        <v>40</v>
      </c>
      <c r="I16" s="1" t="str">
        <f>TRIM(tbl_UPI[[#This Row],[Freq_per_week]])</f>
        <v>3-5 Times</v>
      </c>
      <c r="J16" s="1" t="s">
        <v>43</v>
      </c>
      <c r="K16" s="1" t="s">
        <v>46</v>
      </c>
      <c r="L16" s="1" t="s">
        <v>47</v>
      </c>
      <c r="M16" s="1" t="s">
        <v>47</v>
      </c>
      <c r="N16" s="1" t="s">
        <v>48</v>
      </c>
      <c r="O16" s="1" t="s">
        <v>56</v>
      </c>
      <c r="P16" s="1" t="s">
        <v>90</v>
      </c>
    </row>
    <row r="17" spans="1:16">
      <c r="A17" s="1">
        <v>16</v>
      </c>
      <c r="B17" s="8">
        <v>45955.829437696761</v>
      </c>
      <c r="C17" s="1" t="s">
        <v>123</v>
      </c>
      <c r="D17" s="1" t="s">
        <v>124</v>
      </c>
      <c r="E17" s="1" t="s">
        <v>64</v>
      </c>
      <c r="F17" s="1" t="s">
        <v>46</v>
      </c>
      <c r="G17" s="1" t="s">
        <v>34</v>
      </c>
      <c r="H17" s="1" t="s">
        <v>39</v>
      </c>
      <c r="I17" s="1" t="str">
        <f>TRIM(tbl_UPI[[#This Row],[Freq_per_week]])</f>
        <v>1-2 Times</v>
      </c>
      <c r="J17" s="1" t="s">
        <v>44</v>
      </c>
      <c r="K17" s="1" t="s">
        <v>46</v>
      </c>
      <c r="L17" s="1" t="s">
        <v>46</v>
      </c>
      <c r="M17" s="1" t="s">
        <v>46</v>
      </c>
      <c r="N17" s="1" t="s">
        <v>48</v>
      </c>
      <c r="O17" s="1" t="s">
        <v>58</v>
      </c>
      <c r="P17" s="1" t="s">
        <v>90</v>
      </c>
    </row>
    <row r="18" spans="1:16">
      <c r="A18" s="1">
        <v>17</v>
      </c>
      <c r="B18" s="8">
        <v>45955.834874201391</v>
      </c>
      <c r="C18" s="1" t="s">
        <v>125</v>
      </c>
      <c r="D18" s="1" t="s">
        <v>126</v>
      </c>
      <c r="E18" s="1" t="s">
        <v>61</v>
      </c>
      <c r="F18" s="1" t="s">
        <v>47</v>
      </c>
      <c r="G18" s="1" t="s">
        <v>35</v>
      </c>
      <c r="H18" s="1" t="s">
        <v>40</v>
      </c>
      <c r="I18" s="1" t="str">
        <f>TRIM(tbl_UPI[[#This Row],[Freq_per_week]])</f>
        <v>3-5 Times</v>
      </c>
      <c r="J18" s="1" t="s">
        <v>43</v>
      </c>
      <c r="K18" s="1" t="s">
        <v>46</v>
      </c>
      <c r="L18" s="1" t="s">
        <v>47</v>
      </c>
      <c r="M18" s="1" t="s">
        <v>47</v>
      </c>
      <c r="N18" s="1" t="s">
        <v>49</v>
      </c>
      <c r="O18" s="1" t="s">
        <v>56</v>
      </c>
      <c r="P18" s="1" t="s">
        <v>90</v>
      </c>
    </row>
    <row r="19" spans="1:16">
      <c r="A19" s="1">
        <v>18</v>
      </c>
      <c r="B19" s="8">
        <v>45955.836625243057</v>
      </c>
      <c r="C19" s="1" t="s">
        <v>127</v>
      </c>
      <c r="D19" s="1" t="s">
        <v>89</v>
      </c>
      <c r="E19" s="1" t="s">
        <v>63</v>
      </c>
      <c r="F19" s="1" t="s">
        <v>47</v>
      </c>
      <c r="G19" s="1" t="s">
        <v>35</v>
      </c>
      <c r="H19" s="1" t="s">
        <v>40</v>
      </c>
      <c r="I19" s="1" t="str">
        <f>TRIM(tbl_UPI[[#This Row],[Freq_per_week]])</f>
        <v>3-5 Times</v>
      </c>
      <c r="J19" s="1" t="s">
        <v>42</v>
      </c>
      <c r="K19" s="1" t="s">
        <v>46</v>
      </c>
      <c r="L19" s="1" t="s">
        <v>47</v>
      </c>
      <c r="M19" s="1" t="s">
        <v>47</v>
      </c>
      <c r="N19" s="1" t="s">
        <v>52</v>
      </c>
      <c r="O19" s="1" t="s">
        <v>56</v>
      </c>
      <c r="P19" s="1" t="s">
        <v>90</v>
      </c>
    </row>
    <row r="20" spans="1:16">
      <c r="A20" s="1">
        <v>19</v>
      </c>
      <c r="B20" s="8">
        <v>45955.837950810186</v>
      </c>
      <c r="C20" s="1" t="s">
        <v>128</v>
      </c>
      <c r="D20" s="1" t="s">
        <v>129</v>
      </c>
      <c r="E20" s="1" t="s">
        <v>61</v>
      </c>
      <c r="F20" s="1" t="s">
        <v>47</v>
      </c>
      <c r="G20" s="1" t="s">
        <v>35</v>
      </c>
      <c r="H20" s="1" t="s">
        <v>41</v>
      </c>
      <c r="I20" s="1" t="str">
        <f>TRIM(tbl_UPI[[#This Row],[Freq_per_week]])</f>
        <v>Daily</v>
      </c>
      <c r="J20" s="1" t="s">
        <v>44</v>
      </c>
      <c r="K20" s="1" t="s">
        <v>46</v>
      </c>
      <c r="L20" s="1" t="s">
        <v>47</v>
      </c>
      <c r="M20" s="1" t="s">
        <v>47</v>
      </c>
      <c r="N20" s="1" t="s">
        <v>50</v>
      </c>
      <c r="O20" s="1" t="s">
        <v>58</v>
      </c>
      <c r="P20" s="1" t="s">
        <v>90</v>
      </c>
    </row>
    <row r="21" spans="1:16">
      <c r="A21" s="1">
        <v>20</v>
      </c>
      <c r="B21" s="8">
        <v>45955.837987627317</v>
      </c>
      <c r="C21" s="1" t="s">
        <v>130</v>
      </c>
      <c r="D21" s="1" t="s">
        <v>131</v>
      </c>
      <c r="E21" s="1" t="s">
        <v>61</v>
      </c>
      <c r="F21" s="1" t="s">
        <v>47</v>
      </c>
      <c r="G21" s="1" t="s">
        <v>35</v>
      </c>
      <c r="H21" s="1" t="s">
        <v>39</v>
      </c>
      <c r="I21" s="1" t="str">
        <f>TRIM(tbl_UPI[[#This Row],[Freq_per_week]])</f>
        <v>1-2 Times</v>
      </c>
      <c r="J21" s="1" t="s">
        <v>43</v>
      </c>
      <c r="K21" s="1" t="s">
        <v>47</v>
      </c>
      <c r="L21" s="1" t="s">
        <v>47</v>
      </c>
      <c r="M21" s="1" t="s">
        <v>47</v>
      </c>
      <c r="N21" s="1" t="s">
        <v>48</v>
      </c>
      <c r="O21" s="1" t="s">
        <v>57</v>
      </c>
      <c r="P21" s="1" t="s">
        <v>90</v>
      </c>
    </row>
    <row r="22" spans="1:16">
      <c r="A22" s="1">
        <v>21</v>
      </c>
      <c r="B22" s="8">
        <v>45955.838909062499</v>
      </c>
      <c r="C22" s="1" t="s">
        <v>132</v>
      </c>
      <c r="D22" s="1" t="s">
        <v>133</v>
      </c>
      <c r="E22" s="1" t="s">
        <v>63</v>
      </c>
      <c r="F22" s="1" t="s">
        <v>47</v>
      </c>
      <c r="G22" s="1" t="s">
        <v>37</v>
      </c>
      <c r="H22" s="1" t="s">
        <v>41</v>
      </c>
      <c r="I22" s="1" t="str">
        <f>TRIM(tbl_UPI[[#This Row],[Freq_per_week]])</f>
        <v>Daily</v>
      </c>
      <c r="J22" s="1" t="s">
        <v>42</v>
      </c>
      <c r="K22" s="1" t="s">
        <v>46</v>
      </c>
      <c r="L22" s="1" t="s">
        <v>47</v>
      </c>
      <c r="M22" s="1" t="s">
        <v>47</v>
      </c>
      <c r="N22" s="1" t="s">
        <v>48</v>
      </c>
      <c r="O22" s="1" t="s">
        <v>56</v>
      </c>
      <c r="P22" s="1" t="s">
        <v>90</v>
      </c>
    </row>
    <row r="23" spans="1:16">
      <c r="A23" s="1">
        <v>22</v>
      </c>
      <c r="B23" s="8">
        <v>45955.840727430557</v>
      </c>
      <c r="C23" s="1" t="s">
        <v>134</v>
      </c>
      <c r="D23" s="1" t="s">
        <v>124</v>
      </c>
      <c r="E23" s="1" t="s">
        <v>64</v>
      </c>
      <c r="F23" s="1" t="s">
        <v>47</v>
      </c>
      <c r="G23" s="1" t="s">
        <v>35</v>
      </c>
      <c r="H23" s="1" t="s">
        <v>41</v>
      </c>
      <c r="I23" s="1" t="str">
        <f>TRIM(tbl_UPI[[#This Row],[Freq_per_week]])</f>
        <v>Daily</v>
      </c>
      <c r="J23" s="1" t="s">
        <v>44</v>
      </c>
      <c r="K23" s="1" t="s">
        <v>47</v>
      </c>
      <c r="L23" s="1" t="s">
        <v>46</v>
      </c>
      <c r="M23" s="1" t="s">
        <v>46</v>
      </c>
      <c r="N23" s="1" t="s">
        <v>51</v>
      </c>
      <c r="O23" s="1" t="s">
        <v>58</v>
      </c>
      <c r="P23" s="1" t="s">
        <v>90</v>
      </c>
    </row>
    <row r="24" spans="1:16">
      <c r="A24" s="1">
        <v>23</v>
      </c>
      <c r="B24" s="8">
        <v>45955.841352777781</v>
      </c>
      <c r="C24" s="1" t="s">
        <v>135</v>
      </c>
      <c r="D24" s="1" t="s">
        <v>136</v>
      </c>
      <c r="E24" s="1" t="s">
        <v>61</v>
      </c>
      <c r="F24" s="1" t="s">
        <v>47</v>
      </c>
      <c r="G24" s="1" t="s">
        <v>35</v>
      </c>
      <c r="H24" s="1" t="s">
        <v>41</v>
      </c>
      <c r="I24" s="1" t="str">
        <f>TRIM(tbl_UPI[[#This Row],[Freq_per_week]])</f>
        <v>Daily</v>
      </c>
      <c r="J24" s="1" t="s">
        <v>43</v>
      </c>
      <c r="K24" s="1" t="s">
        <v>46</v>
      </c>
      <c r="L24" s="1" t="s">
        <v>47</v>
      </c>
      <c r="M24" s="1" t="s">
        <v>47</v>
      </c>
      <c r="N24" s="1" t="s">
        <v>52</v>
      </c>
      <c r="O24" s="1" t="s">
        <v>58</v>
      </c>
      <c r="P24" s="1" t="s">
        <v>137</v>
      </c>
    </row>
    <row r="25" spans="1:16">
      <c r="A25" s="1">
        <v>24</v>
      </c>
      <c r="B25" s="8">
        <v>45955.844175289349</v>
      </c>
      <c r="C25" s="1" t="s">
        <v>138</v>
      </c>
      <c r="D25" s="1" t="s">
        <v>139</v>
      </c>
      <c r="E25" s="1" t="s">
        <v>62</v>
      </c>
      <c r="F25" s="1" t="s">
        <v>47</v>
      </c>
      <c r="G25" s="1" t="s">
        <v>35</v>
      </c>
      <c r="H25" s="1" t="s">
        <v>40</v>
      </c>
      <c r="I25" s="1" t="str">
        <f>TRIM(tbl_UPI[[#This Row],[Freq_per_week]])</f>
        <v>3-5 Times</v>
      </c>
      <c r="J25" s="1" t="s">
        <v>42</v>
      </c>
      <c r="K25" s="1" t="s">
        <v>47</v>
      </c>
      <c r="L25" s="1" t="s">
        <v>46</v>
      </c>
      <c r="M25" s="1" t="s">
        <v>47</v>
      </c>
      <c r="N25" s="1" t="s">
        <v>52</v>
      </c>
      <c r="O25" s="1" t="s">
        <v>55</v>
      </c>
      <c r="P25" s="1" t="s">
        <v>47</v>
      </c>
    </row>
    <row r="26" spans="1:16">
      <c r="A26" s="1">
        <v>25</v>
      </c>
      <c r="B26" s="8">
        <v>45955.845383680557</v>
      </c>
      <c r="C26" s="1" t="s">
        <v>140</v>
      </c>
      <c r="D26" s="1" t="s">
        <v>141</v>
      </c>
      <c r="E26" s="1" t="s">
        <v>61</v>
      </c>
      <c r="F26" s="1" t="s">
        <v>47</v>
      </c>
      <c r="G26" s="1" t="s">
        <v>35</v>
      </c>
      <c r="H26" s="1" t="s">
        <v>39</v>
      </c>
      <c r="I26" s="1" t="str">
        <f>TRIM(tbl_UPI[[#This Row],[Freq_per_week]])</f>
        <v>1-2 Times</v>
      </c>
      <c r="J26" s="1" t="s">
        <v>44</v>
      </c>
      <c r="K26" s="1" t="s">
        <v>46</v>
      </c>
      <c r="L26" s="1" t="s">
        <v>47</v>
      </c>
      <c r="M26" s="1" t="s">
        <v>47</v>
      </c>
      <c r="N26" s="1" t="s">
        <v>49</v>
      </c>
      <c r="O26" s="1" t="s">
        <v>56</v>
      </c>
      <c r="P26" s="1" t="s">
        <v>90</v>
      </c>
    </row>
    <row r="27" spans="1:16">
      <c r="A27" s="1">
        <v>26</v>
      </c>
      <c r="B27" s="8">
        <v>45955.848582743056</v>
      </c>
      <c r="C27" s="1" t="s">
        <v>142</v>
      </c>
      <c r="D27" s="1" t="s">
        <v>143</v>
      </c>
      <c r="E27" s="1" t="s">
        <v>61</v>
      </c>
      <c r="F27" s="1" t="s">
        <v>47</v>
      </c>
      <c r="G27" s="1" t="s">
        <v>35</v>
      </c>
      <c r="H27" s="1" t="s">
        <v>39</v>
      </c>
      <c r="I27" s="1" t="str">
        <f>TRIM(tbl_UPI[[#This Row],[Freq_per_week]])</f>
        <v>1-2 Times</v>
      </c>
      <c r="J27" s="1" t="s">
        <v>45</v>
      </c>
      <c r="K27" s="1" t="s">
        <v>46</v>
      </c>
      <c r="L27" s="1" t="s">
        <v>47</v>
      </c>
      <c r="M27" s="1" t="s">
        <v>47</v>
      </c>
      <c r="N27" s="1" t="s">
        <v>48</v>
      </c>
      <c r="O27" s="1" t="s">
        <v>56</v>
      </c>
      <c r="P27" s="1" t="s">
        <v>90</v>
      </c>
    </row>
    <row r="28" spans="1:16">
      <c r="A28" s="1">
        <v>27</v>
      </c>
      <c r="B28" s="8">
        <v>45955.84872253472</v>
      </c>
      <c r="C28" s="1" t="s">
        <v>144</v>
      </c>
      <c r="D28" s="1" t="s">
        <v>145</v>
      </c>
      <c r="E28" s="1" t="s">
        <v>61</v>
      </c>
      <c r="F28" s="1" t="s">
        <v>46</v>
      </c>
      <c r="G28" s="1" t="s">
        <v>35</v>
      </c>
      <c r="H28" s="1" t="s">
        <v>40</v>
      </c>
      <c r="I28" s="1" t="str">
        <f>TRIM(tbl_UPI[[#This Row],[Freq_per_week]])</f>
        <v>3-5 Times</v>
      </c>
      <c r="J28" s="1" t="s">
        <v>45</v>
      </c>
      <c r="K28" s="1" t="s">
        <v>46</v>
      </c>
      <c r="L28" s="1" t="s">
        <v>47</v>
      </c>
      <c r="M28" s="1" t="s">
        <v>47</v>
      </c>
      <c r="N28" s="1" t="s">
        <v>48</v>
      </c>
      <c r="O28" s="1" t="s">
        <v>56</v>
      </c>
      <c r="P28" s="1" t="s">
        <v>90</v>
      </c>
    </row>
    <row r="29" spans="1:16">
      <c r="A29" s="1">
        <v>28</v>
      </c>
      <c r="B29" s="8">
        <v>45955.848907615742</v>
      </c>
      <c r="C29" s="1" t="s">
        <v>146</v>
      </c>
      <c r="D29" s="1" t="s">
        <v>147</v>
      </c>
      <c r="E29" s="1" t="s">
        <v>61</v>
      </c>
      <c r="F29" s="1" t="s">
        <v>47</v>
      </c>
      <c r="G29" s="1" t="s">
        <v>37</v>
      </c>
      <c r="H29" s="1" t="s">
        <v>41</v>
      </c>
      <c r="I29" s="1" t="str">
        <f>TRIM(tbl_UPI[[#This Row],[Freq_per_week]])</f>
        <v>Daily</v>
      </c>
      <c r="J29" s="1" t="s">
        <v>43</v>
      </c>
      <c r="K29" s="1" t="s">
        <v>47</v>
      </c>
      <c r="L29" s="1" t="s">
        <v>46</v>
      </c>
      <c r="M29" s="1" t="s">
        <v>47</v>
      </c>
      <c r="N29" s="1" t="s">
        <v>48</v>
      </c>
      <c r="O29" s="1" t="s">
        <v>56</v>
      </c>
      <c r="P29" s="1" t="s">
        <v>148</v>
      </c>
    </row>
    <row r="30" spans="1:16">
      <c r="A30" s="1">
        <v>29</v>
      </c>
      <c r="B30" s="8">
        <v>45955.852130891202</v>
      </c>
      <c r="C30" s="1" t="s">
        <v>149</v>
      </c>
      <c r="D30" s="1" t="s">
        <v>150</v>
      </c>
      <c r="E30" s="1" t="s">
        <v>62</v>
      </c>
      <c r="F30" s="1" t="s">
        <v>47</v>
      </c>
      <c r="G30" s="1" t="s">
        <v>35</v>
      </c>
      <c r="H30" s="1" t="s">
        <v>41</v>
      </c>
      <c r="I30" s="1" t="str">
        <f>TRIM(tbl_UPI[[#This Row],[Freq_per_week]])</f>
        <v>Daily</v>
      </c>
      <c r="J30" s="1" t="s">
        <v>44</v>
      </c>
      <c r="K30" s="1" t="s">
        <v>46</v>
      </c>
      <c r="L30" s="1" t="s">
        <v>47</v>
      </c>
      <c r="M30" s="1" t="s">
        <v>47</v>
      </c>
      <c r="N30" s="1" t="s">
        <v>48</v>
      </c>
      <c r="O30" s="1" t="s">
        <v>57</v>
      </c>
      <c r="P30" s="1" t="s">
        <v>151</v>
      </c>
    </row>
    <row r="31" spans="1:16">
      <c r="A31" s="1">
        <v>30</v>
      </c>
      <c r="B31" s="8">
        <v>45955.853908171295</v>
      </c>
      <c r="C31" s="1" t="s">
        <v>152</v>
      </c>
      <c r="D31" s="1" t="s">
        <v>153</v>
      </c>
      <c r="E31" s="1" t="s">
        <v>61</v>
      </c>
      <c r="F31" s="1" t="s">
        <v>47</v>
      </c>
      <c r="G31" s="1" t="s">
        <v>35</v>
      </c>
      <c r="H31" s="1" t="s">
        <v>39</v>
      </c>
      <c r="I31" s="1" t="str">
        <f>TRIM(tbl_UPI[[#This Row],[Freq_per_week]])</f>
        <v>1-2 Times</v>
      </c>
      <c r="J31" s="1" t="s">
        <v>43</v>
      </c>
      <c r="K31" s="1" t="s">
        <v>46</v>
      </c>
      <c r="L31" s="1" t="s">
        <v>47</v>
      </c>
      <c r="M31" s="1" t="s">
        <v>47</v>
      </c>
      <c r="N31" s="1" t="s">
        <v>49</v>
      </c>
      <c r="O31" s="1" t="s">
        <v>58</v>
      </c>
      <c r="P31" s="1" t="s">
        <v>89</v>
      </c>
    </row>
    <row r="32" spans="1:16">
      <c r="A32" s="1">
        <v>31</v>
      </c>
      <c r="B32" s="8">
        <v>45955.854481423608</v>
      </c>
      <c r="C32" s="1" t="s">
        <v>154</v>
      </c>
      <c r="D32" s="1" t="s">
        <v>155</v>
      </c>
      <c r="E32" s="1" t="s">
        <v>61</v>
      </c>
      <c r="F32" s="1" t="s">
        <v>47</v>
      </c>
      <c r="G32" s="1" t="s">
        <v>35</v>
      </c>
      <c r="H32" s="1" t="s">
        <v>39</v>
      </c>
      <c r="I32" s="1" t="str">
        <f>TRIM(tbl_UPI[[#This Row],[Freq_per_week]])</f>
        <v>1-2 Times</v>
      </c>
      <c r="J32" s="1" t="s">
        <v>43</v>
      </c>
      <c r="K32" s="1" t="s">
        <v>46</v>
      </c>
      <c r="L32" s="1" t="s">
        <v>47</v>
      </c>
      <c r="M32" s="1" t="s">
        <v>46</v>
      </c>
      <c r="N32" s="1" t="s">
        <v>48</v>
      </c>
      <c r="O32" s="1" t="s">
        <v>58</v>
      </c>
      <c r="P32" s="1" t="s">
        <v>46</v>
      </c>
    </row>
    <row r="33" spans="1:16">
      <c r="A33" s="1">
        <v>32</v>
      </c>
      <c r="B33" s="8">
        <v>45955.855043842595</v>
      </c>
      <c r="C33" s="1" t="s">
        <v>156</v>
      </c>
      <c r="D33" s="1" t="s">
        <v>157</v>
      </c>
      <c r="E33" s="1" t="s">
        <v>61</v>
      </c>
      <c r="F33" s="1" t="s">
        <v>47</v>
      </c>
      <c r="G33" s="1" t="s">
        <v>35</v>
      </c>
      <c r="H33" s="1" t="s">
        <v>41</v>
      </c>
      <c r="I33" s="1" t="str">
        <f>TRIM(tbl_UPI[[#This Row],[Freq_per_week]])</f>
        <v>Daily</v>
      </c>
      <c r="J33" s="1" t="s">
        <v>43</v>
      </c>
      <c r="K33" s="1" t="s">
        <v>46</v>
      </c>
      <c r="L33" s="1" t="s">
        <v>47</v>
      </c>
      <c r="M33" s="1" t="s">
        <v>47</v>
      </c>
      <c r="N33" s="1" t="s">
        <v>49</v>
      </c>
      <c r="O33" s="1" t="s">
        <v>57</v>
      </c>
      <c r="P33" s="1" t="s">
        <v>90</v>
      </c>
    </row>
    <row r="34" spans="1:16">
      <c r="A34" s="1">
        <v>33</v>
      </c>
      <c r="B34" s="8">
        <v>45955.856548379626</v>
      </c>
      <c r="C34" s="1" t="s">
        <v>158</v>
      </c>
      <c r="D34" s="1" t="s">
        <v>159</v>
      </c>
      <c r="E34" s="1" t="s">
        <v>61</v>
      </c>
      <c r="F34" s="1" t="s">
        <v>47</v>
      </c>
      <c r="G34" s="1" t="s">
        <v>35</v>
      </c>
      <c r="H34" s="1" t="s">
        <v>41</v>
      </c>
      <c r="I34" s="1" t="str">
        <f>TRIM(tbl_UPI[[#This Row],[Freq_per_week]])</f>
        <v>Daily</v>
      </c>
      <c r="J34" s="1" t="s">
        <v>42</v>
      </c>
      <c r="K34" s="1" t="s">
        <v>46</v>
      </c>
      <c r="L34" s="1" t="s">
        <v>47</v>
      </c>
      <c r="M34" s="1" t="s">
        <v>47</v>
      </c>
      <c r="N34" s="1" t="s">
        <v>48</v>
      </c>
      <c r="O34" s="1" t="s">
        <v>58</v>
      </c>
      <c r="P34" s="1" t="s">
        <v>90</v>
      </c>
    </row>
    <row r="35" spans="1:16">
      <c r="A35" s="1">
        <v>34</v>
      </c>
      <c r="B35" s="8">
        <v>45955.858017708335</v>
      </c>
      <c r="C35" s="1" t="s">
        <v>160</v>
      </c>
      <c r="D35" s="1" t="s">
        <v>161</v>
      </c>
      <c r="E35" s="1" t="s">
        <v>62</v>
      </c>
      <c r="F35" s="1" t="s">
        <v>47</v>
      </c>
      <c r="G35" s="1" t="s">
        <v>37</v>
      </c>
      <c r="H35" s="1" t="s">
        <v>41</v>
      </c>
      <c r="I35" s="1" t="str">
        <f>TRIM(tbl_UPI[[#This Row],[Freq_per_week]])</f>
        <v>Daily</v>
      </c>
      <c r="J35" s="1" t="s">
        <v>42</v>
      </c>
      <c r="K35" s="1" t="s">
        <v>46</v>
      </c>
      <c r="L35" s="1" t="s">
        <v>47</v>
      </c>
      <c r="M35" s="1" t="s">
        <v>47</v>
      </c>
      <c r="N35" s="1" t="s">
        <v>49</v>
      </c>
      <c r="O35" s="1" t="s">
        <v>56</v>
      </c>
      <c r="P35" s="1" t="s">
        <v>90</v>
      </c>
    </row>
    <row r="36" spans="1:16">
      <c r="A36" s="1">
        <v>35</v>
      </c>
      <c r="B36" s="8">
        <v>45955.858538043984</v>
      </c>
      <c r="C36" s="1" t="s">
        <v>162</v>
      </c>
      <c r="D36" s="1" t="s">
        <v>163</v>
      </c>
      <c r="E36" s="1" t="s">
        <v>61</v>
      </c>
      <c r="F36" s="1" t="s">
        <v>47</v>
      </c>
      <c r="G36" s="1" t="s">
        <v>35</v>
      </c>
      <c r="H36" s="1" t="s">
        <v>40</v>
      </c>
      <c r="I36" s="1" t="str">
        <f>TRIM(tbl_UPI[[#This Row],[Freq_per_week]])</f>
        <v>3-5 Times</v>
      </c>
      <c r="J36" s="1" t="s">
        <v>43</v>
      </c>
      <c r="K36" s="1" t="s">
        <v>46</v>
      </c>
      <c r="L36" s="1" t="s">
        <v>47</v>
      </c>
      <c r="M36" s="1" t="s">
        <v>47</v>
      </c>
      <c r="N36" s="1" t="s">
        <v>49</v>
      </c>
      <c r="O36" s="1" t="s">
        <v>56</v>
      </c>
      <c r="P36" s="1" t="s">
        <v>164</v>
      </c>
    </row>
    <row r="37" spans="1:16">
      <c r="A37" s="1">
        <v>36</v>
      </c>
      <c r="B37" s="8">
        <v>45955.867995555556</v>
      </c>
      <c r="C37" s="1" t="s">
        <v>165</v>
      </c>
      <c r="D37" s="1" t="s">
        <v>166</v>
      </c>
      <c r="E37" s="1" t="s">
        <v>61</v>
      </c>
      <c r="F37" s="1" t="s">
        <v>47</v>
      </c>
      <c r="G37" s="1" t="s">
        <v>37</v>
      </c>
      <c r="H37" s="1" t="s">
        <v>41</v>
      </c>
      <c r="I37" s="1" t="str">
        <f>TRIM(tbl_UPI[[#This Row],[Freq_per_week]])</f>
        <v>Daily</v>
      </c>
      <c r="J37" s="1" t="s">
        <v>44</v>
      </c>
      <c r="K37" s="1" t="s">
        <v>47</v>
      </c>
      <c r="L37" s="1" t="s">
        <v>47</v>
      </c>
      <c r="M37" s="1" t="s">
        <v>47</v>
      </c>
      <c r="N37" s="1" t="s">
        <v>48</v>
      </c>
      <c r="O37" s="1" t="s">
        <v>57</v>
      </c>
      <c r="P37" s="1" t="s">
        <v>167</v>
      </c>
    </row>
    <row r="38" spans="1:16">
      <c r="A38" s="1">
        <v>37</v>
      </c>
      <c r="B38" s="8">
        <v>45955.86851375</v>
      </c>
      <c r="C38" s="1" t="s">
        <v>168</v>
      </c>
      <c r="D38" s="1" t="s">
        <v>169</v>
      </c>
      <c r="E38" s="1" t="s">
        <v>61</v>
      </c>
      <c r="F38" s="1" t="s">
        <v>47</v>
      </c>
      <c r="G38" s="1" t="s">
        <v>35</v>
      </c>
      <c r="H38" s="1" t="s">
        <v>41</v>
      </c>
      <c r="I38" s="1" t="str">
        <f>TRIM(tbl_UPI[[#This Row],[Freq_per_week]])</f>
        <v>Daily</v>
      </c>
      <c r="J38" s="1" t="s">
        <v>43</v>
      </c>
      <c r="K38" s="1" t="s">
        <v>46</v>
      </c>
      <c r="L38" s="1" t="s">
        <v>47</v>
      </c>
      <c r="M38" s="1" t="s">
        <v>47</v>
      </c>
      <c r="N38" s="1" t="s">
        <v>48</v>
      </c>
      <c r="O38" s="1" t="s">
        <v>57</v>
      </c>
      <c r="P38" s="1" t="s">
        <v>90</v>
      </c>
    </row>
    <row r="39" spans="1:16">
      <c r="A39" s="1">
        <v>38</v>
      </c>
      <c r="B39" s="8">
        <v>45955.869004768516</v>
      </c>
      <c r="C39" s="1" t="s">
        <v>170</v>
      </c>
      <c r="D39" s="1" t="s">
        <v>171</v>
      </c>
      <c r="E39" s="1" t="s">
        <v>62</v>
      </c>
      <c r="F39" s="1" t="s">
        <v>46</v>
      </c>
      <c r="G39" s="1" t="s">
        <v>37</v>
      </c>
      <c r="H39" s="1" t="s">
        <v>40</v>
      </c>
      <c r="I39" s="1" t="str">
        <f>TRIM(tbl_UPI[[#This Row],[Freq_per_week]])</f>
        <v>3-5 Times</v>
      </c>
      <c r="J39" s="1" t="s">
        <v>42</v>
      </c>
      <c r="K39" s="1" t="s">
        <v>47</v>
      </c>
      <c r="L39" s="1" t="s">
        <v>46</v>
      </c>
      <c r="M39" s="1" t="s">
        <v>47</v>
      </c>
      <c r="N39" s="1" t="s">
        <v>50</v>
      </c>
      <c r="O39" s="1" t="s">
        <v>56</v>
      </c>
      <c r="P39" s="1" t="s">
        <v>90</v>
      </c>
    </row>
    <row r="40" spans="1:16">
      <c r="A40" s="1">
        <v>39</v>
      </c>
      <c r="B40" s="8">
        <v>45955.871156759262</v>
      </c>
      <c r="C40" s="1" t="s">
        <v>172</v>
      </c>
      <c r="D40" s="1" t="s">
        <v>173</v>
      </c>
      <c r="E40" s="1" t="s">
        <v>61</v>
      </c>
      <c r="F40" s="1" t="s">
        <v>47</v>
      </c>
      <c r="G40" s="1" t="s">
        <v>35</v>
      </c>
      <c r="H40" s="1" t="s">
        <v>39</v>
      </c>
      <c r="I40" s="1" t="str">
        <f>TRIM(tbl_UPI[[#This Row],[Freq_per_week]])</f>
        <v>1-2 Times</v>
      </c>
      <c r="J40" s="1" t="s">
        <v>44</v>
      </c>
      <c r="K40" s="1" t="s">
        <v>47</v>
      </c>
      <c r="L40" s="1" t="s">
        <v>47</v>
      </c>
      <c r="M40" s="1" t="s">
        <v>47</v>
      </c>
      <c r="N40" s="1" t="s">
        <v>48</v>
      </c>
      <c r="O40" s="1" t="s">
        <v>58</v>
      </c>
      <c r="P40" s="1" t="s">
        <v>90</v>
      </c>
    </row>
    <row r="41" spans="1:16">
      <c r="A41" s="1">
        <v>40</v>
      </c>
      <c r="B41" s="8">
        <v>45955.880741782406</v>
      </c>
      <c r="C41" s="1" t="s">
        <v>174</v>
      </c>
      <c r="D41" s="1" t="s">
        <v>175</v>
      </c>
      <c r="E41" s="1" t="s">
        <v>61</v>
      </c>
      <c r="F41" s="1" t="s">
        <v>47</v>
      </c>
      <c r="G41" s="1" t="s">
        <v>35</v>
      </c>
      <c r="H41" s="1" t="s">
        <v>41</v>
      </c>
      <c r="I41" s="1" t="str">
        <f>TRIM(tbl_UPI[[#This Row],[Freq_per_week]])</f>
        <v>Daily</v>
      </c>
      <c r="J41" s="1" t="s">
        <v>42</v>
      </c>
      <c r="K41" s="1" t="s">
        <v>46</v>
      </c>
      <c r="L41" s="1" t="s">
        <v>46</v>
      </c>
      <c r="M41" s="1" t="s">
        <v>47</v>
      </c>
      <c r="N41" s="1" t="s">
        <v>48</v>
      </c>
      <c r="O41" s="1" t="s">
        <v>58</v>
      </c>
      <c r="P41" s="1" t="s">
        <v>176</v>
      </c>
    </row>
    <row r="42" spans="1:16">
      <c r="A42" s="1">
        <v>41</v>
      </c>
      <c r="B42" s="8">
        <v>45955.898860729169</v>
      </c>
      <c r="C42" s="1" t="s">
        <v>177</v>
      </c>
      <c r="D42" s="1" t="s">
        <v>178</v>
      </c>
      <c r="E42" s="1" t="s">
        <v>61</v>
      </c>
      <c r="F42" s="1" t="s">
        <v>47</v>
      </c>
      <c r="G42" s="1" t="s">
        <v>35</v>
      </c>
      <c r="H42" s="1" t="s">
        <v>41</v>
      </c>
      <c r="I42" s="1" t="str">
        <f>TRIM(tbl_UPI[[#This Row],[Freq_per_week]])</f>
        <v>Daily</v>
      </c>
      <c r="J42" s="1" t="s">
        <v>43</v>
      </c>
      <c r="K42" s="1" t="s">
        <v>46</v>
      </c>
      <c r="L42" s="1" t="s">
        <v>47</v>
      </c>
      <c r="M42" s="1" t="s">
        <v>47</v>
      </c>
      <c r="N42" s="1" t="s">
        <v>49</v>
      </c>
      <c r="O42" s="1" t="s">
        <v>56</v>
      </c>
      <c r="P42" s="1" t="s">
        <v>179</v>
      </c>
    </row>
    <row r="43" spans="1:16">
      <c r="A43" s="1">
        <v>42</v>
      </c>
      <c r="B43" s="8">
        <v>45955.903098275463</v>
      </c>
      <c r="C43" s="1" t="s">
        <v>180</v>
      </c>
      <c r="D43" s="1" t="s">
        <v>181</v>
      </c>
      <c r="E43" s="1" t="s">
        <v>61</v>
      </c>
      <c r="F43" s="1" t="s">
        <v>47</v>
      </c>
      <c r="G43" s="1" t="s">
        <v>35</v>
      </c>
      <c r="H43" s="1" t="s">
        <v>41</v>
      </c>
      <c r="I43" s="1" t="str">
        <f>TRIM(tbl_UPI[[#This Row],[Freq_per_week]])</f>
        <v>Daily</v>
      </c>
      <c r="J43" s="1" t="s">
        <v>43</v>
      </c>
      <c r="K43" s="1" t="s">
        <v>46</v>
      </c>
      <c r="L43" s="1" t="s">
        <v>47</v>
      </c>
      <c r="M43" s="1" t="s">
        <v>47</v>
      </c>
      <c r="N43" s="1" t="s">
        <v>48</v>
      </c>
      <c r="O43" s="1" t="s">
        <v>58</v>
      </c>
      <c r="P43" s="1" t="s">
        <v>182</v>
      </c>
    </row>
    <row r="44" spans="1:16">
      <c r="A44" s="1">
        <v>43</v>
      </c>
      <c r="B44" s="8">
        <v>45955.986481759261</v>
      </c>
      <c r="C44" s="1" t="s">
        <v>183</v>
      </c>
      <c r="D44" s="1" t="s">
        <v>184</v>
      </c>
      <c r="E44" s="1" t="s">
        <v>61</v>
      </c>
      <c r="F44" s="1" t="s">
        <v>47</v>
      </c>
      <c r="G44" s="1" t="s">
        <v>35</v>
      </c>
      <c r="H44" s="1" t="s">
        <v>40</v>
      </c>
      <c r="I44" s="1" t="str">
        <f>TRIM(tbl_UPI[[#This Row],[Freq_per_week]])</f>
        <v>3-5 Times</v>
      </c>
      <c r="J44" s="1" t="s">
        <v>42</v>
      </c>
      <c r="K44" s="1" t="s">
        <v>46</v>
      </c>
      <c r="L44" s="1" t="s">
        <v>47</v>
      </c>
      <c r="M44" s="1" t="s">
        <v>47</v>
      </c>
      <c r="N44" s="1" t="s">
        <v>48</v>
      </c>
      <c r="O44" s="1" t="s">
        <v>56</v>
      </c>
      <c r="P44" s="1" t="s">
        <v>90</v>
      </c>
    </row>
    <row r="45" spans="1:16">
      <c r="A45" s="1">
        <v>44</v>
      </c>
      <c r="B45" s="8">
        <v>45956.28252148148</v>
      </c>
      <c r="C45" s="1" t="s">
        <v>185</v>
      </c>
      <c r="D45" s="1" t="s">
        <v>186</v>
      </c>
      <c r="E45" s="1" t="s">
        <v>61</v>
      </c>
      <c r="F45" s="1" t="s">
        <v>47</v>
      </c>
      <c r="G45" s="1" t="s">
        <v>35</v>
      </c>
      <c r="H45" s="1" t="s">
        <v>39</v>
      </c>
      <c r="I45" s="1" t="str">
        <f>TRIM(tbl_UPI[[#This Row],[Freq_per_week]])</f>
        <v>1-2 Times</v>
      </c>
      <c r="J45" s="1" t="s">
        <v>43</v>
      </c>
      <c r="K45" s="1" t="s">
        <v>46</v>
      </c>
      <c r="L45" s="1" t="s">
        <v>47</v>
      </c>
      <c r="M45" s="1" t="s">
        <v>47</v>
      </c>
      <c r="N45" s="1" t="s">
        <v>49</v>
      </c>
      <c r="O45" s="1" t="s">
        <v>58</v>
      </c>
      <c r="P45" s="1" t="s">
        <v>187</v>
      </c>
    </row>
    <row r="46" spans="1:16">
      <c r="A46" s="1">
        <v>45</v>
      </c>
      <c r="B46" s="8">
        <v>45956.358706909719</v>
      </c>
      <c r="C46" s="1" t="s">
        <v>188</v>
      </c>
      <c r="D46" s="1" t="s">
        <v>189</v>
      </c>
      <c r="E46" s="1" t="s">
        <v>61</v>
      </c>
      <c r="F46" s="1" t="s">
        <v>47</v>
      </c>
      <c r="G46" s="1" t="s">
        <v>37</v>
      </c>
      <c r="H46" s="1" t="s">
        <v>41</v>
      </c>
      <c r="I46" s="1" t="str">
        <f>TRIM(tbl_UPI[[#This Row],[Freq_per_week]])</f>
        <v>Daily</v>
      </c>
      <c r="J46" s="1" t="s">
        <v>43</v>
      </c>
      <c r="K46" s="1" t="s">
        <v>46</v>
      </c>
      <c r="L46" s="1" t="s">
        <v>46</v>
      </c>
      <c r="M46" s="1" t="s">
        <v>46</v>
      </c>
      <c r="N46" s="1" t="s">
        <v>52</v>
      </c>
      <c r="O46" s="1" t="s">
        <v>58</v>
      </c>
      <c r="P46" s="1" t="s">
        <v>90</v>
      </c>
    </row>
    <row r="47" spans="1:16">
      <c r="A47" s="1">
        <v>46</v>
      </c>
      <c r="B47" s="8">
        <v>45956.372705694441</v>
      </c>
      <c r="C47" s="1" t="s">
        <v>190</v>
      </c>
      <c r="D47" s="1" t="s">
        <v>191</v>
      </c>
      <c r="E47" s="1" t="s">
        <v>61</v>
      </c>
      <c r="F47" s="1" t="s">
        <v>47</v>
      </c>
      <c r="G47" s="1" t="s">
        <v>35</v>
      </c>
      <c r="H47" s="1" t="s">
        <v>40</v>
      </c>
      <c r="I47" s="1" t="str">
        <f>TRIM(tbl_UPI[[#This Row],[Freq_per_week]])</f>
        <v>3-5 Times</v>
      </c>
      <c r="J47" s="1" t="s">
        <v>45</v>
      </c>
      <c r="K47" s="1" t="s">
        <v>46</v>
      </c>
      <c r="L47" s="1" t="s">
        <v>47</v>
      </c>
      <c r="M47" s="1" t="s">
        <v>47</v>
      </c>
      <c r="N47" s="1" t="s">
        <v>49</v>
      </c>
      <c r="O47" s="1" t="s">
        <v>57</v>
      </c>
      <c r="P47" s="1" t="s">
        <v>192</v>
      </c>
    </row>
    <row r="48" spans="1:16">
      <c r="A48" s="1">
        <v>47</v>
      </c>
      <c r="B48" s="8">
        <v>45956.379683935185</v>
      </c>
      <c r="C48" s="1" t="s">
        <v>193</v>
      </c>
      <c r="D48" s="1" t="s">
        <v>194</v>
      </c>
      <c r="E48" s="1" t="s">
        <v>64</v>
      </c>
      <c r="F48" s="1" t="s">
        <v>47</v>
      </c>
      <c r="G48" s="1" t="s">
        <v>35</v>
      </c>
      <c r="H48" s="1" t="s">
        <v>41</v>
      </c>
      <c r="I48" s="1" t="str">
        <f>TRIM(tbl_UPI[[#This Row],[Freq_per_week]])</f>
        <v>Daily</v>
      </c>
      <c r="J48" s="1" t="s">
        <v>43</v>
      </c>
      <c r="K48" s="1" t="s">
        <v>46</v>
      </c>
      <c r="L48" s="1" t="s">
        <v>47</v>
      </c>
      <c r="M48" s="1" t="s">
        <v>47</v>
      </c>
      <c r="N48" s="1" t="s">
        <v>48</v>
      </c>
      <c r="O48" s="1" t="s">
        <v>58</v>
      </c>
      <c r="P48" s="1" t="s">
        <v>195</v>
      </c>
    </row>
    <row r="49" spans="1:16">
      <c r="A49" s="1">
        <v>48</v>
      </c>
      <c r="B49" s="8">
        <v>45956.383013344908</v>
      </c>
      <c r="C49" s="1" t="s">
        <v>196</v>
      </c>
      <c r="D49" s="1" t="s">
        <v>197</v>
      </c>
      <c r="E49" s="1" t="s">
        <v>62</v>
      </c>
      <c r="F49" s="1" t="s">
        <v>47</v>
      </c>
      <c r="G49" s="1" t="s">
        <v>37</v>
      </c>
      <c r="H49" s="1" t="s">
        <v>41</v>
      </c>
      <c r="I49" s="1" t="str">
        <f>TRIM(tbl_UPI[[#This Row],[Freq_per_week]])</f>
        <v>Daily</v>
      </c>
      <c r="J49" s="1" t="s">
        <v>45</v>
      </c>
      <c r="K49" s="1" t="s">
        <v>46</v>
      </c>
      <c r="L49" s="1" t="s">
        <v>47</v>
      </c>
      <c r="M49" s="1" t="s">
        <v>47</v>
      </c>
      <c r="N49" s="1" t="s">
        <v>49</v>
      </c>
      <c r="O49" s="1" t="s">
        <v>56</v>
      </c>
      <c r="P49" s="1" t="s">
        <v>90</v>
      </c>
    </row>
    <row r="50" spans="1:16">
      <c r="A50" s="1">
        <v>49</v>
      </c>
      <c r="B50" s="8">
        <v>45956.394950393522</v>
      </c>
      <c r="C50" s="1" t="s">
        <v>198</v>
      </c>
      <c r="D50" s="1" t="s">
        <v>199</v>
      </c>
      <c r="E50" s="1" t="s">
        <v>61</v>
      </c>
      <c r="F50" s="1" t="s">
        <v>47</v>
      </c>
      <c r="G50" s="1" t="s">
        <v>35</v>
      </c>
      <c r="H50" s="1" t="s">
        <v>41</v>
      </c>
      <c r="I50" s="1" t="str">
        <f>TRIM(tbl_UPI[[#This Row],[Freq_per_week]])</f>
        <v>Daily</v>
      </c>
      <c r="J50" s="1" t="s">
        <v>43</v>
      </c>
      <c r="K50" s="1" t="s">
        <v>46</v>
      </c>
      <c r="L50" s="1" t="s">
        <v>47</v>
      </c>
      <c r="M50" s="1" t="s">
        <v>47</v>
      </c>
      <c r="N50" s="1" t="s">
        <v>48</v>
      </c>
      <c r="O50" s="1" t="s">
        <v>57</v>
      </c>
      <c r="P50" s="1" t="s">
        <v>90</v>
      </c>
    </row>
    <row r="51" spans="1:16">
      <c r="A51" s="1">
        <v>50</v>
      </c>
      <c r="B51" s="8">
        <v>45956.425561180557</v>
      </c>
      <c r="C51" s="1" t="s">
        <v>200</v>
      </c>
      <c r="D51" s="1" t="s">
        <v>201</v>
      </c>
      <c r="E51" s="1" t="s">
        <v>61</v>
      </c>
      <c r="F51" s="1" t="s">
        <v>47</v>
      </c>
      <c r="G51" s="1" t="s">
        <v>35</v>
      </c>
      <c r="H51" s="1" t="s">
        <v>40</v>
      </c>
      <c r="I51" s="1" t="str">
        <f>TRIM(tbl_UPI[[#This Row],[Freq_per_week]])</f>
        <v>3-5 Times</v>
      </c>
      <c r="J51" s="1" t="s">
        <v>42</v>
      </c>
      <c r="K51" s="1" t="s">
        <v>46</v>
      </c>
      <c r="L51" s="1" t="s">
        <v>47</v>
      </c>
      <c r="M51" s="1" t="s">
        <v>47</v>
      </c>
      <c r="N51" s="1" t="s">
        <v>48</v>
      </c>
      <c r="O51" s="1" t="s">
        <v>56</v>
      </c>
      <c r="P51" s="1" t="s">
        <v>202</v>
      </c>
    </row>
    <row r="52" spans="1:16">
      <c r="A52" s="1">
        <v>51</v>
      </c>
      <c r="B52" s="8">
        <v>45956.451180509262</v>
      </c>
      <c r="C52" s="1" t="s">
        <v>203</v>
      </c>
      <c r="D52" s="1" t="s">
        <v>204</v>
      </c>
      <c r="E52" s="1" t="s">
        <v>64</v>
      </c>
      <c r="F52" s="1" t="s">
        <v>47</v>
      </c>
      <c r="G52" s="1" t="s">
        <v>34</v>
      </c>
      <c r="H52" s="1" t="s">
        <v>39</v>
      </c>
      <c r="I52" s="1" t="str">
        <f>TRIM(tbl_UPI[[#This Row],[Freq_per_week]])</f>
        <v>1-2 Times</v>
      </c>
      <c r="J52" s="1" t="s">
        <v>45</v>
      </c>
      <c r="K52" s="1" t="s">
        <v>46</v>
      </c>
      <c r="L52" s="1" t="s">
        <v>47</v>
      </c>
      <c r="M52" s="1" t="s">
        <v>47</v>
      </c>
      <c r="N52" s="1" t="s">
        <v>48</v>
      </c>
      <c r="O52" s="1" t="s">
        <v>56</v>
      </c>
      <c r="P52" s="1" t="s">
        <v>90</v>
      </c>
    </row>
    <row r="53" spans="1:16">
      <c r="A53" s="1">
        <v>52</v>
      </c>
      <c r="B53" s="8">
        <v>45956.457580069444</v>
      </c>
      <c r="C53" s="1" t="s">
        <v>205</v>
      </c>
      <c r="D53" s="1" t="s">
        <v>206</v>
      </c>
      <c r="E53" s="1" t="s">
        <v>63</v>
      </c>
      <c r="F53" s="1" t="s">
        <v>47</v>
      </c>
      <c r="G53" s="1" t="s">
        <v>35</v>
      </c>
      <c r="H53" s="1" t="s">
        <v>39</v>
      </c>
      <c r="I53" s="1" t="str">
        <f>TRIM(tbl_UPI[[#This Row],[Freq_per_week]])</f>
        <v>1-2 Times</v>
      </c>
      <c r="J53" s="1" t="s">
        <v>42</v>
      </c>
      <c r="K53" s="1" t="s">
        <v>46</v>
      </c>
      <c r="L53" s="1" t="s">
        <v>47</v>
      </c>
      <c r="M53" s="1" t="s">
        <v>47</v>
      </c>
      <c r="N53" s="1" t="s">
        <v>48</v>
      </c>
      <c r="O53" s="1" t="s">
        <v>58</v>
      </c>
      <c r="P53" s="1" t="s">
        <v>207</v>
      </c>
    </row>
    <row r="54" spans="1:16">
      <c r="A54" s="1">
        <v>53</v>
      </c>
      <c r="B54" s="8">
        <v>45956.462290219904</v>
      </c>
      <c r="C54" s="1" t="s">
        <v>208</v>
      </c>
      <c r="D54" s="1" t="s">
        <v>89</v>
      </c>
      <c r="E54" s="1" t="s">
        <v>63</v>
      </c>
      <c r="F54" s="1" t="s">
        <v>47</v>
      </c>
      <c r="G54" s="1" t="s">
        <v>35</v>
      </c>
      <c r="H54" s="1" t="s">
        <v>40</v>
      </c>
      <c r="I54" s="1" t="str">
        <f>TRIM(tbl_UPI[[#This Row],[Freq_per_week]])</f>
        <v>3-5 Times</v>
      </c>
      <c r="J54" s="1" t="s">
        <v>42</v>
      </c>
      <c r="K54" s="1" t="s">
        <v>46</v>
      </c>
      <c r="L54" s="1" t="s">
        <v>47</v>
      </c>
      <c r="M54" s="1" t="s">
        <v>47</v>
      </c>
      <c r="N54" s="1" t="s">
        <v>52</v>
      </c>
      <c r="O54" s="1" t="s">
        <v>58</v>
      </c>
      <c r="P54" s="1" t="s">
        <v>90</v>
      </c>
    </row>
    <row r="55" spans="1:16">
      <c r="A55" s="1">
        <v>54</v>
      </c>
      <c r="B55" s="8">
        <v>45956.466886574075</v>
      </c>
      <c r="C55" s="1" t="s">
        <v>209</v>
      </c>
      <c r="D55" s="1" t="s">
        <v>210</v>
      </c>
      <c r="E55" s="1" t="s">
        <v>61</v>
      </c>
      <c r="F55" s="1" t="s">
        <v>47</v>
      </c>
      <c r="G55" s="1" t="s">
        <v>35</v>
      </c>
      <c r="H55" s="1" t="s">
        <v>41</v>
      </c>
      <c r="I55" s="1" t="str">
        <f>TRIM(tbl_UPI[[#This Row],[Freq_per_week]])</f>
        <v>Daily</v>
      </c>
      <c r="J55" s="1" t="s">
        <v>43</v>
      </c>
      <c r="K55" s="1" t="s">
        <v>46</v>
      </c>
      <c r="L55" s="1" t="s">
        <v>47</v>
      </c>
      <c r="M55" s="1" t="s">
        <v>47</v>
      </c>
      <c r="N55" s="1" t="s">
        <v>48</v>
      </c>
      <c r="O55" s="1" t="s">
        <v>56</v>
      </c>
      <c r="P55" s="1" t="s">
        <v>89</v>
      </c>
    </row>
    <row r="56" spans="1:16">
      <c r="A56" s="1">
        <v>55</v>
      </c>
      <c r="B56" s="8">
        <v>45956.483261516201</v>
      </c>
      <c r="C56" s="1" t="s">
        <v>211</v>
      </c>
      <c r="D56" s="1" t="s">
        <v>212</v>
      </c>
      <c r="E56" s="1" t="s">
        <v>63</v>
      </c>
      <c r="F56" s="1" t="s">
        <v>47</v>
      </c>
      <c r="G56" s="1" t="s">
        <v>37</v>
      </c>
      <c r="H56" s="1" t="s">
        <v>41</v>
      </c>
      <c r="I56" s="1" t="str">
        <f>TRIM(tbl_UPI[[#This Row],[Freq_per_week]])</f>
        <v>Daily</v>
      </c>
      <c r="J56" s="1" t="s">
        <v>45</v>
      </c>
      <c r="K56" s="1" t="s">
        <v>46</v>
      </c>
      <c r="L56" s="1" t="s">
        <v>47</v>
      </c>
      <c r="M56" s="1" t="s">
        <v>47</v>
      </c>
      <c r="N56" s="1" t="s">
        <v>48</v>
      </c>
      <c r="O56" s="1" t="s">
        <v>58</v>
      </c>
      <c r="P56" s="1" t="s">
        <v>90</v>
      </c>
    </row>
    <row r="57" spans="1:16">
      <c r="A57" s="1">
        <v>56</v>
      </c>
      <c r="B57" s="8">
        <v>45956.502143495367</v>
      </c>
      <c r="C57" s="1" t="s">
        <v>213</v>
      </c>
      <c r="D57" s="1" t="s">
        <v>214</v>
      </c>
      <c r="E57" s="1" t="s">
        <v>62</v>
      </c>
      <c r="F57" s="1" t="s">
        <v>47</v>
      </c>
      <c r="G57" s="1" t="s">
        <v>35</v>
      </c>
      <c r="H57" s="1" t="s">
        <v>41</v>
      </c>
      <c r="I57" s="1" t="str">
        <f>TRIM(tbl_UPI[[#This Row],[Freq_per_week]])</f>
        <v>Daily</v>
      </c>
      <c r="J57" s="1" t="s">
        <v>42</v>
      </c>
      <c r="K57" s="1" t="s">
        <v>47</v>
      </c>
      <c r="L57" s="1" t="s">
        <v>47</v>
      </c>
      <c r="M57" s="1" t="s">
        <v>47</v>
      </c>
      <c r="N57" s="1" t="s">
        <v>48</v>
      </c>
      <c r="O57" s="1" t="s">
        <v>58</v>
      </c>
      <c r="P57" s="1" t="s">
        <v>90</v>
      </c>
    </row>
    <row r="58" spans="1:16">
      <c r="A58" s="1">
        <v>57</v>
      </c>
      <c r="B58" s="8">
        <v>45956.510937013889</v>
      </c>
      <c r="C58" s="1" t="s">
        <v>215</v>
      </c>
      <c r="D58" s="1" t="s">
        <v>216</v>
      </c>
      <c r="E58" s="1" t="s">
        <v>61</v>
      </c>
      <c r="F58" s="1" t="s">
        <v>47</v>
      </c>
      <c r="G58" s="1" t="s">
        <v>35</v>
      </c>
      <c r="H58" s="1" t="s">
        <v>40</v>
      </c>
      <c r="I58" s="1" t="str">
        <f>TRIM(tbl_UPI[[#This Row],[Freq_per_week]])</f>
        <v>3-5 Times</v>
      </c>
      <c r="J58" s="1" t="s">
        <v>44</v>
      </c>
      <c r="K58" s="1" t="s">
        <v>46</v>
      </c>
      <c r="L58" s="1" t="s">
        <v>47</v>
      </c>
      <c r="M58" s="1" t="s">
        <v>47</v>
      </c>
      <c r="N58" s="1" t="s">
        <v>48</v>
      </c>
      <c r="O58" s="1" t="s">
        <v>57</v>
      </c>
      <c r="P58" s="1" t="s">
        <v>90</v>
      </c>
    </row>
    <row r="59" spans="1:16">
      <c r="A59" s="1">
        <v>58</v>
      </c>
      <c r="B59" s="8">
        <v>45956.519636331017</v>
      </c>
      <c r="C59" s="1" t="s">
        <v>217</v>
      </c>
      <c r="D59" s="1" t="s">
        <v>218</v>
      </c>
      <c r="E59" s="1" t="s">
        <v>61</v>
      </c>
      <c r="F59" s="1" t="s">
        <v>47</v>
      </c>
      <c r="G59" s="1" t="s">
        <v>37</v>
      </c>
      <c r="H59" s="1" t="s">
        <v>41</v>
      </c>
      <c r="I59" s="1" t="str">
        <f>TRIM(tbl_UPI[[#This Row],[Freq_per_week]])</f>
        <v>Daily</v>
      </c>
      <c r="J59" s="1" t="s">
        <v>43</v>
      </c>
      <c r="K59" s="1" t="s">
        <v>46</v>
      </c>
      <c r="L59" s="1" t="s">
        <v>46</v>
      </c>
      <c r="M59" s="1" t="s">
        <v>46</v>
      </c>
      <c r="N59" s="1" t="s">
        <v>49</v>
      </c>
      <c r="O59" s="1" t="s">
        <v>57</v>
      </c>
      <c r="P59" s="1" t="s">
        <v>219</v>
      </c>
    </row>
    <row r="60" spans="1:16">
      <c r="A60" s="1">
        <v>59</v>
      </c>
      <c r="B60" s="8">
        <v>45956.558915914349</v>
      </c>
      <c r="C60" s="1" t="s">
        <v>220</v>
      </c>
      <c r="D60" s="1" t="s">
        <v>221</v>
      </c>
      <c r="E60" s="1" t="s">
        <v>61</v>
      </c>
      <c r="F60" s="1" t="s">
        <v>47</v>
      </c>
      <c r="G60" s="1" t="s">
        <v>35</v>
      </c>
      <c r="H60" s="1" t="s">
        <v>41</v>
      </c>
      <c r="I60" s="1" t="str">
        <f>TRIM(tbl_UPI[[#This Row],[Freq_per_week]])</f>
        <v>Daily</v>
      </c>
      <c r="J60" s="1" t="s">
        <v>43</v>
      </c>
      <c r="K60" s="1" t="s">
        <v>46</v>
      </c>
      <c r="L60" s="1" t="s">
        <v>47</v>
      </c>
      <c r="M60" s="1" t="s">
        <v>47</v>
      </c>
      <c r="N60" s="1" t="s">
        <v>52</v>
      </c>
      <c r="O60" s="1" t="s">
        <v>56</v>
      </c>
      <c r="P60" s="1" t="s">
        <v>222</v>
      </c>
    </row>
    <row r="61" spans="1:16">
      <c r="A61" s="1">
        <v>60</v>
      </c>
      <c r="B61" s="8">
        <v>45956.637335601852</v>
      </c>
      <c r="C61" s="1" t="s">
        <v>223</v>
      </c>
      <c r="D61" s="1" t="s">
        <v>224</v>
      </c>
      <c r="E61" s="1" t="s">
        <v>61</v>
      </c>
      <c r="F61" s="1" t="s">
        <v>47</v>
      </c>
      <c r="G61" s="1" t="s">
        <v>35</v>
      </c>
      <c r="H61" s="1" t="s">
        <v>41</v>
      </c>
      <c r="I61" s="1" t="str">
        <f>TRIM(tbl_UPI[[#This Row],[Freq_per_week]])</f>
        <v>Daily</v>
      </c>
      <c r="J61" s="1" t="s">
        <v>45</v>
      </c>
      <c r="K61" s="1" t="s">
        <v>46</v>
      </c>
      <c r="L61" s="1" t="s">
        <v>47</v>
      </c>
      <c r="M61" s="1" t="s">
        <v>47</v>
      </c>
      <c r="N61" s="1" t="s">
        <v>48</v>
      </c>
      <c r="O61" s="1" t="s">
        <v>57</v>
      </c>
      <c r="P61" s="1" t="s">
        <v>90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675DB-B084-491E-BCD8-032237DDCCE2}">
  <dimension ref="A1:O61"/>
  <sheetViews>
    <sheetView topLeftCell="D1" zoomScale="110" zoomScaleNormal="110" workbookViewId="0">
      <selection activeCell="A19" sqref="A19"/>
    </sheetView>
  </sheetViews>
  <sheetFormatPr defaultColWidth="12.5703125" defaultRowHeight="12.75"/>
  <cols>
    <col min="1" max="1" width="16" style="1" bestFit="1" customWidth="1"/>
    <col min="2" max="2" width="16.140625" style="1" bestFit="1" customWidth="1"/>
    <col min="3" max="3" width="24.28515625" style="1" bestFit="1" customWidth="1"/>
    <col min="4" max="4" width="30.85546875" style="1" bestFit="1" customWidth="1"/>
    <col min="5" max="5" width="10.85546875" style="1" bestFit="1" customWidth="1"/>
    <col min="6" max="6" width="9.5703125" style="1" bestFit="1" customWidth="1"/>
    <col min="7" max="7" width="12.140625" style="1" bestFit="1" customWidth="1"/>
    <col min="8" max="8" width="14.5703125" style="1" bestFit="1" customWidth="1"/>
    <col min="9" max="9" width="21.85546875" style="1" bestFit="1" customWidth="1"/>
    <col min="10" max="10" width="11.140625" style="1" bestFit="1" customWidth="1"/>
    <col min="11" max="11" width="15.42578125" style="1" bestFit="1" customWidth="1"/>
    <col min="12" max="12" width="15.85546875" style="1" bestFit="1" customWidth="1"/>
    <col min="13" max="13" width="46.5703125" style="1" bestFit="1" customWidth="1"/>
    <col min="14" max="14" width="41" style="1" bestFit="1" customWidth="1"/>
    <col min="15" max="15" width="126.7109375" style="1" bestFit="1" customWidth="1"/>
    <col min="16" max="21" width="18.85546875" style="1" customWidth="1"/>
    <col min="22" max="16384" width="12.5703125" style="1"/>
  </cols>
  <sheetData>
    <row r="1" spans="1:15" ht="15">
      <c r="A1" s="6" t="s">
        <v>73</v>
      </c>
      <c r="B1" s="2" t="s">
        <v>74</v>
      </c>
      <c r="C1" s="2" t="s">
        <v>75</v>
      </c>
      <c r="D1" s="2" t="s">
        <v>76</v>
      </c>
      <c r="E1" s="2" t="s">
        <v>77</v>
      </c>
      <c r="F1" s="2" t="s">
        <v>53</v>
      </c>
      <c r="G1" s="2" t="s">
        <v>78</v>
      </c>
      <c r="H1" s="2" t="s">
        <v>79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</row>
    <row r="2" spans="1:15" ht="15">
      <c r="A2" s="4">
        <v>1</v>
      </c>
      <c r="B2" s="3">
        <v>45955.796875</v>
      </c>
      <c r="C2" s="4" t="s">
        <v>88</v>
      </c>
      <c r="D2" s="7" t="s">
        <v>89</v>
      </c>
      <c r="E2" s="4" t="s">
        <v>61</v>
      </c>
      <c r="F2" s="4" t="s">
        <v>47</v>
      </c>
      <c r="G2" s="4" t="s">
        <v>35</v>
      </c>
      <c r="H2" s="4" t="s">
        <v>40</v>
      </c>
      <c r="I2" s="4" t="s">
        <v>45</v>
      </c>
      <c r="J2" s="4" t="s">
        <v>46</v>
      </c>
      <c r="K2" s="4" t="s">
        <v>47</v>
      </c>
      <c r="L2" s="4" t="s">
        <v>47</v>
      </c>
      <c r="M2" s="4" t="s">
        <v>52</v>
      </c>
      <c r="N2" s="4" t="s">
        <v>56</v>
      </c>
      <c r="O2" s="4" t="s">
        <v>90</v>
      </c>
    </row>
    <row r="3" spans="1:15" ht="15">
      <c r="A3" s="4">
        <v>2</v>
      </c>
      <c r="B3" s="3">
        <v>45955.797788171301</v>
      </c>
      <c r="C3" s="4" t="s">
        <v>91</v>
      </c>
      <c r="D3" s="7" t="s">
        <v>92</v>
      </c>
      <c r="E3" s="4" t="s">
        <v>61</v>
      </c>
      <c r="F3" s="4" t="s">
        <v>47</v>
      </c>
      <c r="G3" s="4" t="s">
        <v>37</v>
      </c>
      <c r="H3" s="4" t="s">
        <v>40</v>
      </c>
      <c r="I3" s="4" t="s">
        <v>44</v>
      </c>
      <c r="J3" s="4" t="s">
        <v>46</v>
      </c>
      <c r="K3" s="4" t="s">
        <v>47</v>
      </c>
      <c r="L3" s="4" t="s">
        <v>47</v>
      </c>
      <c r="M3" s="4" t="s">
        <v>48</v>
      </c>
      <c r="N3" s="4" t="s">
        <v>57</v>
      </c>
      <c r="O3" s="4" t="s">
        <v>90</v>
      </c>
    </row>
    <row r="4" spans="1:15" ht="38.25">
      <c r="A4" s="4">
        <v>3</v>
      </c>
      <c r="B4" s="3">
        <v>45955.803057962963</v>
      </c>
      <c r="C4" s="4" t="s">
        <v>93</v>
      </c>
      <c r="D4" s="4" t="s">
        <v>94</v>
      </c>
      <c r="E4" s="4" t="s">
        <v>61</v>
      </c>
      <c r="F4" s="4" t="s">
        <v>47</v>
      </c>
      <c r="G4" s="4" t="s">
        <v>35</v>
      </c>
      <c r="H4" s="4" t="s">
        <v>41</v>
      </c>
      <c r="I4" s="4" t="s">
        <v>45</v>
      </c>
      <c r="J4" s="4" t="s">
        <v>46</v>
      </c>
      <c r="K4" s="4" t="s">
        <v>47</v>
      </c>
      <c r="L4" s="4" t="s">
        <v>47</v>
      </c>
      <c r="M4" s="4" t="s">
        <v>48</v>
      </c>
      <c r="N4" s="4" t="s">
        <v>56</v>
      </c>
      <c r="O4" s="5" t="s">
        <v>95</v>
      </c>
    </row>
    <row r="5" spans="1:15" ht="15">
      <c r="A5" s="4">
        <v>4</v>
      </c>
      <c r="B5" s="3">
        <v>45955.804907407408</v>
      </c>
      <c r="C5" s="4" t="s">
        <v>96</v>
      </c>
      <c r="D5" s="7" t="s">
        <v>89</v>
      </c>
      <c r="E5" s="4" t="s">
        <v>61</v>
      </c>
      <c r="F5" s="4" t="s">
        <v>47</v>
      </c>
      <c r="G5" s="4" t="s">
        <v>35</v>
      </c>
      <c r="H5" s="4" t="s">
        <v>39</v>
      </c>
      <c r="I5" s="4" t="s">
        <v>42</v>
      </c>
      <c r="J5" s="4" t="s">
        <v>46</v>
      </c>
      <c r="K5" s="4" t="s">
        <v>46</v>
      </c>
      <c r="L5" s="4" t="s">
        <v>47</v>
      </c>
      <c r="M5" s="4" t="s">
        <v>52</v>
      </c>
      <c r="N5" s="4" t="s">
        <v>56</v>
      </c>
      <c r="O5" s="4" t="s">
        <v>90</v>
      </c>
    </row>
    <row r="6" spans="1:15">
      <c r="A6" s="4">
        <v>5</v>
      </c>
      <c r="B6" s="3">
        <v>45955.805817511573</v>
      </c>
      <c r="C6" s="4" t="s">
        <v>97</v>
      </c>
      <c r="D6" s="4" t="s">
        <v>98</v>
      </c>
      <c r="E6" s="4" t="s">
        <v>61</v>
      </c>
      <c r="F6" s="4" t="s">
        <v>47</v>
      </c>
      <c r="G6" s="4" t="s">
        <v>34</v>
      </c>
      <c r="H6" s="4" t="s">
        <v>40</v>
      </c>
      <c r="I6" s="4" t="s">
        <v>43</v>
      </c>
      <c r="J6" s="4" t="s">
        <v>46</v>
      </c>
      <c r="K6" s="4" t="s">
        <v>47</v>
      </c>
      <c r="L6" s="4" t="s">
        <v>47</v>
      </c>
      <c r="M6" s="4" t="s">
        <v>52</v>
      </c>
      <c r="N6" s="4" t="s">
        <v>58</v>
      </c>
      <c r="O6" s="4" t="s">
        <v>90</v>
      </c>
    </row>
    <row r="7" spans="1:15">
      <c r="A7" s="4">
        <v>6</v>
      </c>
      <c r="B7" s="3">
        <v>45955.805877592589</v>
      </c>
      <c r="C7" s="4" t="s">
        <v>99</v>
      </c>
      <c r="D7" s="4" t="s">
        <v>100</v>
      </c>
      <c r="E7" s="4" t="s">
        <v>61</v>
      </c>
      <c r="F7" s="4" t="s">
        <v>47</v>
      </c>
      <c r="G7" s="4" t="s">
        <v>35</v>
      </c>
      <c r="H7" s="4" t="s">
        <v>40</v>
      </c>
      <c r="I7" s="4" t="s">
        <v>45</v>
      </c>
      <c r="J7" s="4" t="s">
        <v>46</v>
      </c>
      <c r="K7" s="4" t="s">
        <v>47</v>
      </c>
      <c r="L7" s="4" t="s">
        <v>47</v>
      </c>
      <c r="M7" s="4" t="s">
        <v>48</v>
      </c>
      <c r="N7" s="4" t="s">
        <v>56</v>
      </c>
      <c r="O7" s="4" t="s">
        <v>90</v>
      </c>
    </row>
    <row r="8" spans="1:15">
      <c r="A8" s="4">
        <v>7</v>
      </c>
      <c r="B8" s="3">
        <v>45955.807959085651</v>
      </c>
      <c r="C8" s="4" t="s">
        <v>101</v>
      </c>
      <c r="D8" s="4" t="s">
        <v>102</v>
      </c>
      <c r="E8" s="4" t="s">
        <v>61</v>
      </c>
      <c r="F8" s="4" t="s">
        <v>47</v>
      </c>
      <c r="G8" s="4" t="s">
        <v>35</v>
      </c>
      <c r="H8" s="4" t="s">
        <v>39</v>
      </c>
      <c r="I8" s="4" t="s">
        <v>42</v>
      </c>
      <c r="J8" s="4" t="s">
        <v>47</v>
      </c>
      <c r="K8" s="4" t="s">
        <v>46</v>
      </c>
      <c r="L8" s="4" t="s">
        <v>47</v>
      </c>
      <c r="M8" s="4" t="s">
        <v>49</v>
      </c>
      <c r="N8" s="4" t="s">
        <v>57</v>
      </c>
      <c r="O8" s="4" t="s">
        <v>90</v>
      </c>
    </row>
    <row r="9" spans="1:15">
      <c r="A9" s="4">
        <v>8</v>
      </c>
      <c r="B9" s="3">
        <v>45955.808638854171</v>
      </c>
      <c r="C9" s="4" t="s">
        <v>103</v>
      </c>
      <c r="D9" s="4" t="s">
        <v>104</v>
      </c>
      <c r="E9" s="4" t="s">
        <v>61</v>
      </c>
      <c r="F9" s="4" t="s">
        <v>47</v>
      </c>
      <c r="G9" s="4" t="s">
        <v>35</v>
      </c>
      <c r="H9" s="4" t="s">
        <v>41</v>
      </c>
      <c r="I9" s="4" t="s">
        <v>42</v>
      </c>
      <c r="J9" s="4" t="s">
        <v>46</v>
      </c>
      <c r="K9" s="4" t="s">
        <v>47</v>
      </c>
      <c r="L9" s="4" t="s">
        <v>47</v>
      </c>
      <c r="M9" s="4" t="s">
        <v>48</v>
      </c>
      <c r="N9" s="4" t="s">
        <v>56</v>
      </c>
      <c r="O9" s="4" t="s">
        <v>105</v>
      </c>
    </row>
    <row r="10" spans="1:15">
      <c r="A10" s="4">
        <v>9</v>
      </c>
      <c r="B10" s="3">
        <v>45955.808697476852</v>
      </c>
      <c r="C10" s="4" t="s">
        <v>106</v>
      </c>
      <c r="D10" s="4" t="s">
        <v>107</v>
      </c>
      <c r="E10" s="4" t="s">
        <v>61</v>
      </c>
      <c r="F10" s="4" t="s">
        <v>47</v>
      </c>
      <c r="G10" s="4" t="s">
        <v>36</v>
      </c>
      <c r="H10" s="4" t="s">
        <v>41</v>
      </c>
      <c r="I10" s="4" t="s">
        <v>43</v>
      </c>
      <c r="J10" s="4" t="s">
        <v>46</v>
      </c>
      <c r="K10" s="4" t="s">
        <v>47</v>
      </c>
      <c r="L10" s="4" t="s">
        <v>47</v>
      </c>
      <c r="M10" s="4" t="s">
        <v>48</v>
      </c>
      <c r="N10" s="4" t="s">
        <v>56</v>
      </c>
      <c r="O10" s="4" t="s">
        <v>108</v>
      </c>
    </row>
    <row r="11" spans="1:15">
      <c r="A11" s="4">
        <v>10</v>
      </c>
      <c r="B11" s="3">
        <v>45955.80971454861</v>
      </c>
      <c r="C11" s="4" t="s">
        <v>109</v>
      </c>
      <c r="D11" s="4" t="s">
        <v>110</v>
      </c>
      <c r="E11" s="4" t="s">
        <v>64</v>
      </c>
      <c r="F11" s="4" t="s">
        <v>47</v>
      </c>
      <c r="G11" s="4" t="s">
        <v>37</v>
      </c>
      <c r="H11" s="4" t="s">
        <v>39</v>
      </c>
      <c r="I11" s="4" t="s">
        <v>45</v>
      </c>
      <c r="J11" s="4" t="s">
        <v>47</v>
      </c>
      <c r="K11" s="4" t="s">
        <v>47</v>
      </c>
      <c r="L11" s="4" t="s">
        <v>46</v>
      </c>
      <c r="M11" s="4" t="s">
        <v>50</v>
      </c>
      <c r="N11" s="4" t="s">
        <v>58</v>
      </c>
      <c r="O11" s="4" t="s">
        <v>90</v>
      </c>
    </row>
    <row r="12" spans="1:15">
      <c r="A12" s="4">
        <v>11</v>
      </c>
      <c r="B12" s="3">
        <v>45955.811651053242</v>
      </c>
      <c r="C12" s="4" t="s">
        <v>111</v>
      </c>
      <c r="D12" s="4" t="s">
        <v>112</v>
      </c>
      <c r="E12" s="4" t="s">
        <v>61</v>
      </c>
      <c r="F12" s="4" t="s">
        <v>47</v>
      </c>
      <c r="G12" s="4" t="s">
        <v>35</v>
      </c>
      <c r="H12" s="4" t="s">
        <v>41</v>
      </c>
      <c r="I12" s="4" t="s">
        <v>43</v>
      </c>
      <c r="J12" s="4" t="s">
        <v>46</v>
      </c>
      <c r="K12" s="4" t="s">
        <v>47</v>
      </c>
      <c r="L12" s="4" t="s">
        <v>47</v>
      </c>
      <c r="M12" s="4" t="s">
        <v>48</v>
      </c>
      <c r="N12" s="4" t="s">
        <v>57</v>
      </c>
      <c r="O12" s="4" t="s">
        <v>113</v>
      </c>
    </row>
    <row r="13" spans="1:15">
      <c r="A13" s="4">
        <v>12</v>
      </c>
      <c r="B13" s="3">
        <v>45955.814545254631</v>
      </c>
      <c r="C13" s="4" t="s">
        <v>114</v>
      </c>
      <c r="D13" s="4" t="s">
        <v>115</v>
      </c>
      <c r="E13" s="4" t="s">
        <v>61</v>
      </c>
      <c r="F13" s="4" t="s">
        <v>47</v>
      </c>
      <c r="G13" s="4" t="s">
        <v>37</v>
      </c>
      <c r="H13" s="4" t="s">
        <v>41</v>
      </c>
      <c r="I13" s="4" t="s">
        <v>45</v>
      </c>
      <c r="J13" s="4" t="s">
        <v>46</v>
      </c>
      <c r="K13" s="4" t="s">
        <v>47</v>
      </c>
      <c r="L13" s="4" t="s">
        <v>47</v>
      </c>
      <c r="M13" s="4" t="s">
        <v>49</v>
      </c>
      <c r="N13" s="4" t="s">
        <v>56</v>
      </c>
      <c r="O13" s="4" t="s">
        <v>116</v>
      </c>
    </row>
    <row r="14" spans="1:15">
      <c r="A14" s="4">
        <v>13</v>
      </c>
      <c r="B14" s="3">
        <v>45955.815902118055</v>
      </c>
      <c r="C14" s="4" t="s">
        <v>117</v>
      </c>
      <c r="D14" s="4" t="s">
        <v>118</v>
      </c>
      <c r="E14" s="4" t="s">
        <v>63</v>
      </c>
      <c r="F14" s="4" t="s">
        <v>47</v>
      </c>
      <c r="G14" s="4" t="s">
        <v>35</v>
      </c>
      <c r="H14" s="4" t="s">
        <v>41</v>
      </c>
      <c r="I14" s="4" t="s">
        <v>43</v>
      </c>
      <c r="J14" s="4" t="s">
        <v>46</v>
      </c>
      <c r="K14" s="4" t="s">
        <v>47</v>
      </c>
      <c r="L14" s="4" t="s">
        <v>47</v>
      </c>
      <c r="M14" s="4" t="s">
        <v>48</v>
      </c>
      <c r="N14" s="4" t="s">
        <v>56</v>
      </c>
      <c r="O14" s="4" t="s">
        <v>90</v>
      </c>
    </row>
    <row r="15" spans="1:15">
      <c r="A15" s="4">
        <v>14</v>
      </c>
      <c r="B15" s="3">
        <v>45955.819725046298</v>
      </c>
      <c r="C15" s="4" t="s">
        <v>119</v>
      </c>
      <c r="D15" s="4" t="s">
        <v>120</v>
      </c>
      <c r="E15" s="4" t="s">
        <v>61</v>
      </c>
      <c r="F15" s="4" t="s">
        <v>47</v>
      </c>
      <c r="G15" s="4" t="s">
        <v>35</v>
      </c>
      <c r="H15" s="4" t="s">
        <v>39</v>
      </c>
      <c r="I15" s="4" t="s">
        <v>43</v>
      </c>
      <c r="J15" s="4" t="s">
        <v>46</v>
      </c>
      <c r="K15" s="4" t="s">
        <v>47</v>
      </c>
      <c r="L15" s="4" t="s">
        <v>47</v>
      </c>
      <c r="M15" s="4" t="s">
        <v>52</v>
      </c>
      <c r="N15" s="4" t="s">
        <v>56</v>
      </c>
      <c r="O15" s="4" t="s">
        <v>90</v>
      </c>
    </row>
    <row r="16" spans="1:15">
      <c r="A16" s="4">
        <v>15</v>
      </c>
      <c r="B16" s="3">
        <v>45955.828903715279</v>
      </c>
      <c r="C16" s="4" t="s">
        <v>121</v>
      </c>
      <c r="D16" s="4" t="s">
        <v>122</v>
      </c>
      <c r="E16" s="4" t="s">
        <v>64</v>
      </c>
      <c r="F16" s="4" t="s">
        <v>47</v>
      </c>
      <c r="G16" s="4" t="s">
        <v>225</v>
      </c>
      <c r="H16" s="4" t="s">
        <v>40</v>
      </c>
      <c r="I16" s="4" t="s">
        <v>43</v>
      </c>
      <c r="J16" s="4" t="s">
        <v>46</v>
      </c>
      <c r="K16" s="4" t="s">
        <v>47</v>
      </c>
      <c r="L16" s="4" t="s">
        <v>47</v>
      </c>
      <c r="M16" s="4" t="s">
        <v>48</v>
      </c>
      <c r="N16" s="4" t="s">
        <v>56</v>
      </c>
      <c r="O16" s="4" t="s">
        <v>90</v>
      </c>
    </row>
    <row r="17" spans="1:15">
      <c r="A17" s="4">
        <v>16</v>
      </c>
      <c r="B17" s="3">
        <v>45955.829437696761</v>
      </c>
      <c r="C17" s="4" t="s">
        <v>123</v>
      </c>
      <c r="D17" s="4" t="s">
        <v>124</v>
      </c>
      <c r="E17" s="4" t="s">
        <v>64</v>
      </c>
      <c r="F17" s="4" t="s">
        <v>46</v>
      </c>
      <c r="G17" s="4" t="s">
        <v>34</v>
      </c>
      <c r="H17" s="4" t="s">
        <v>39</v>
      </c>
      <c r="I17" s="4" t="s">
        <v>44</v>
      </c>
      <c r="J17" s="4" t="s">
        <v>46</v>
      </c>
      <c r="K17" s="4" t="s">
        <v>46</v>
      </c>
      <c r="L17" s="4" t="s">
        <v>46</v>
      </c>
      <c r="M17" s="4" t="s">
        <v>48</v>
      </c>
      <c r="N17" s="4" t="s">
        <v>58</v>
      </c>
      <c r="O17" s="4" t="s">
        <v>90</v>
      </c>
    </row>
    <row r="18" spans="1:15">
      <c r="A18" s="4">
        <v>17</v>
      </c>
      <c r="B18" s="3">
        <v>45955.834874201391</v>
      </c>
      <c r="C18" s="4" t="s">
        <v>125</v>
      </c>
      <c r="D18" s="4" t="s">
        <v>126</v>
      </c>
      <c r="E18" s="4" t="s">
        <v>61</v>
      </c>
      <c r="F18" s="4" t="s">
        <v>47</v>
      </c>
      <c r="G18" s="4" t="s">
        <v>35</v>
      </c>
      <c r="H18" s="4" t="s">
        <v>40</v>
      </c>
      <c r="I18" s="4" t="s">
        <v>43</v>
      </c>
      <c r="J18" s="4" t="s">
        <v>46</v>
      </c>
      <c r="K18" s="4" t="s">
        <v>47</v>
      </c>
      <c r="L18" s="4" t="s">
        <v>47</v>
      </c>
      <c r="M18" s="4" t="s">
        <v>49</v>
      </c>
      <c r="N18" s="4" t="s">
        <v>56</v>
      </c>
      <c r="O18" s="4" t="s">
        <v>90</v>
      </c>
    </row>
    <row r="19" spans="1:15" ht="15">
      <c r="A19" s="4">
        <v>18</v>
      </c>
      <c r="B19" s="3">
        <v>45955.836625243057</v>
      </c>
      <c r="C19" s="4" t="s">
        <v>127</v>
      </c>
      <c r="D19" s="7" t="s">
        <v>89</v>
      </c>
      <c r="E19" s="4" t="s">
        <v>63</v>
      </c>
      <c r="F19" s="4" t="s">
        <v>47</v>
      </c>
      <c r="G19" s="4" t="s">
        <v>35</v>
      </c>
      <c r="H19" s="4" t="s">
        <v>40</v>
      </c>
      <c r="I19" s="4" t="s">
        <v>42</v>
      </c>
      <c r="J19" s="4" t="s">
        <v>46</v>
      </c>
      <c r="K19" s="4" t="s">
        <v>47</v>
      </c>
      <c r="L19" s="4" t="s">
        <v>47</v>
      </c>
      <c r="M19" s="4" t="s">
        <v>52</v>
      </c>
      <c r="N19" s="4" t="s">
        <v>56</v>
      </c>
      <c r="O19" s="4" t="s">
        <v>90</v>
      </c>
    </row>
    <row r="20" spans="1:15">
      <c r="A20" s="4">
        <v>19</v>
      </c>
      <c r="B20" s="3">
        <v>45955.837950810186</v>
      </c>
      <c r="C20" s="4" t="s">
        <v>128</v>
      </c>
      <c r="D20" s="4" t="s">
        <v>129</v>
      </c>
      <c r="E20" s="4" t="s">
        <v>61</v>
      </c>
      <c r="F20" s="4" t="s">
        <v>47</v>
      </c>
      <c r="G20" s="4" t="s">
        <v>35</v>
      </c>
      <c r="H20" s="4" t="s">
        <v>41</v>
      </c>
      <c r="I20" s="4" t="s">
        <v>44</v>
      </c>
      <c r="J20" s="4" t="s">
        <v>46</v>
      </c>
      <c r="K20" s="4" t="s">
        <v>47</v>
      </c>
      <c r="L20" s="4" t="s">
        <v>47</v>
      </c>
      <c r="M20" s="4" t="s">
        <v>50</v>
      </c>
      <c r="N20" s="4" t="s">
        <v>58</v>
      </c>
      <c r="O20" s="4" t="s">
        <v>90</v>
      </c>
    </row>
    <row r="21" spans="1:15">
      <c r="A21" s="4">
        <v>20</v>
      </c>
      <c r="B21" s="3">
        <v>45955.83798762731</v>
      </c>
      <c r="C21" s="4" t="s">
        <v>130</v>
      </c>
      <c r="D21" s="4" t="s">
        <v>131</v>
      </c>
      <c r="E21" s="4" t="s">
        <v>61</v>
      </c>
      <c r="F21" s="4" t="s">
        <v>47</v>
      </c>
      <c r="G21" s="4" t="s">
        <v>35</v>
      </c>
      <c r="H21" s="4" t="s">
        <v>39</v>
      </c>
      <c r="I21" s="4" t="s">
        <v>43</v>
      </c>
      <c r="J21" s="4" t="s">
        <v>47</v>
      </c>
      <c r="K21" s="4" t="s">
        <v>47</v>
      </c>
      <c r="L21" s="4" t="s">
        <v>47</v>
      </c>
      <c r="M21" s="4" t="s">
        <v>48</v>
      </c>
      <c r="N21" s="4" t="s">
        <v>57</v>
      </c>
      <c r="O21" s="4" t="s">
        <v>90</v>
      </c>
    </row>
    <row r="22" spans="1:15">
      <c r="A22" s="4">
        <v>21</v>
      </c>
      <c r="B22" s="3">
        <v>45955.838909062499</v>
      </c>
      <c r="C22" s="4" t="s">
        <v>132</v>
      </c>
      <c r="D22" s="4" t="s">
        <v>133</v>
      </c>
      <c r="E22" s="4" t="s">
        <v>63</v>
      </c>
      <c r="F22" s="4" t="s">
        <v>47</v>
      </c>
      <c r="G22" s="4" t="s">
        <v>37</v>
      </c>
      <c r="H22" s="4" t="s">
        <v>41</v>
      </c>
      <c r="I22" s="4" t="s">
        <v>42</v>
      </c>
      <c r="J22" s="4" t="s">
        <v>46</v>
      </c>
      <c r="K22" s="4" t="s">
        <v>47</v>
      </c>
      <c r="L22" s="4" t="s">
        <v>47</v>
      </c>
      <c r="M22" s="4" t="s">
        <v>48</v>
      </c>
      <c r="N22" s="4" t="s">
        <v>56</v>
      </c>
      <c r="O22" s="4" t="s">
        <v>90</v>
      </c>
    </row>
    <row r="23" spans="1:15">
      <c r="A23" s="4">
        <v>22</v>
      </c>
      <c r="B23" s="3">
        <v>45955.840727430557</v>
      </c>
      <c r="C23" s="4" t="s">
        <v>134</v>
      </c>
      <c r="D23" s="4" t="s">
        <v>124</v>
      </c>
      <c r="E23" s="4" t="s">
        <v>64</v>
      </c>
      <c r="F23" s="4" t="s">
        <v>47</v>
      </c>
      <c r="G23" s="4" t="s">
        <v>35</v>
      </c>
      <c r="H23" s="4" t="s">
        <v>41</v>
      </c>
      <c r="I23" s="4" t="s">
        <v>44</v>
      </c>
      <c r="J23" s="4" t="s">
        <v>47</v>
      </c>
      <c r="K23" s="4" t="s">
        <v>46</v>
      </c>
      <c r="L23" s="4" t="s">
        <v>46</v>
      </c>
      <c r="M23" s="4" t="s">
        <v>51</v>
      </c>
      <c r="N23" s="4" t="s">
        <v>58</v>
      </c>
      <c r="O23" s="4" t="s">
        <v>90</v>
      </c>
    </row>
    <row r="24" spans="1:15">
      <c r="A24" s="4">
        <v>23</v>
      </c>
      <c r="B24" s="3">
        <v>45955.841352777774</v>
      </c>
      <c r="C24" s="4" t="s">
        <v>135</v>
      </c>
      <c r="D24" s="4" t="s">
        <v>136</v>
      </c>
      <c r="E24" s="4" t="s">
        <v>61</v>
      </c>
      <c r="F24" s="4" t="s">
        <v>47</v>
      </c>
      <c r="G24" s="4" t="s">
        <v>35</v>
      </c>
      <c r="H24" s="4" t="s">
        <v>41</v>
      </c>
      <c r="I24" s="4" t="s">
        <v>43</v>
      </c>
      <c r="J24" s="4" t="s">
        <v>46</v>
      </c>
      <c r="K24" s="4" t="s">
        <v>47</v>
      </c>
      <c r="L24" s="4" t="s">
        <v>47</v>
      </c>
      <c r="M24" s="4" t="s">
        <v>52</v>
      </c>
      <c r="N24" s="4" t="s">
        <v>58</v>
      </c>
      <c r="O24" s="4" t="s">
        <v>137</v>
      </c>
    </row>
    <row r="25" spans="1:15">
      <c r="A25" s="4">
        <v>24</v>
      </c>
      <c r="B25" s="3">
        <v>45955.844175289356</v>
      </c>
      <c r="C25" s="4" t="s">
        <v>138</v>
      </c>
      <c r="D25" s="4" t="s">
        <v>139</v>
      </c>
      <c r="E25" s="4" t="s">
        <v>62</v>
      </c>
      <c r="F25" s="4" t="s">
        <v>47</v>
      </c>
      <c r="G25" s="4" t="s">
        <v>35</v>
      </c>
      <c r="H25" s="4" t="s">
        <v>40</v>
      </c>
      <c r="I25" s="4" t="s">
        <v>42</v>
      </c>
      <c r="J25" s="4" t="s">
        <v>47</v>
      </c>
      <c r="K25" s="4" t="s">
        <v>46</v>
      </c>
      <c r="L25" s="4" t="s">
        <v>47</v>
      </c>
      <c r="M25" s="4" t="s">
        <v>52</v>
      </c>
      <c r="N25" s="4" t="s">
        <v>55</v>
      </c>
      <c r="O25" s="4" t="s">
        <v>47</v>
      </c>
    </row>
    <row r="26" spans="1:15">
      <c r="A26" s="4">
        <v>25</v>
      </c>
      <c r="B26" s="3">
        <v>45955.845383680557</v>
      </c>
      <c r="C26" s="4" t="s">
        <v>140</v>
      </c>
      <c r="D26" s="4" t="s">
        <v>141</v>
      </c>
      <c r="E26" s="4" t="s">
        <v>61</v>
      </c>
      <c r="F26" s="4" t="s">
        <v>47</v>
      </c>
      <c r="G26" s="4" t="s">
        <v>35</v>
      </c>
      <c r="H26" s="4" t="s">
        <v>39</v>
      </c>
      <c r="I26" s="4" t="s">
        <v>44</v>
      </c>
      <c r="J26" s="4" t="s">
        <v>46</v>
      </c>
      <c r="K26" s="4" t="s">
        <v>47</v>
      </c>
      <c r="L26" s="4" t="s">
        <v>47</v>
      </c>
      <c r="M26" s="4" t="s">
        <v>49</v>
      </c>
      <c r="N26" s="4" t="s">
        <v>56</v>
      </c>
      <c r="O26" s="4" t="s">
        <v>90</v>
      </c>
    </row>
    <row r="27" spans="1:15">
      <c r="A27" s="4">
        <v>26</v>
      </c>
      <c r="B27" s="3">
        <v>45955.848582743056</v>
      </c>
      <c r="C27" s="4" t="s">
        <v>142</v>
      </c>
      <c r="D27" s="4" t="s">
        <v>143</v>
      </c>
      <c r="E27" s="4" t="s">
        <v>61</v>
      </c>
      <c r="F27" s="4" t="s">
        <v>47</v>
      </c>
      <c r="G27" s="4" t="s">
        <v>35</v>
      </c>
      <c r="H27" s="4" t="s">
        <v>39</v>
      </c>
      <c r="I27" s="4" t="s">
        <v>45</v>
      </c>
      <c r="J27" s="4" t="s">
        <v>46</v>
      </c>
      <c r="K27" s="4" t="s">
        <v>47</v>
      </c>
      <c r="L27" s="4" t="s">
        <v>47</v>
      </c>
      <c r="M27" s="4" t="s">
        <v>48</v>
      </c>
      <c r="N27" s="4" t="s">
        <v>56</v>
      </c>
      <c r="O27" s="4" t="s">
        <v>90</v>
      </c>
    </row>
    <row r="28" spans="1:15">
      <c r="A28" s="4">
        <v>27</v>
      </c>
      <c r="B28" s="3">
        <v>45955.84872253472</v>
      </c>
      <c r="C28" s="4" t="s">
        <v>144</v>
      </c>
      <c r="D28" s="4" t="s">
        <v>145</v>
      </c>
      <c r="E28" s="4" t="s">
        <v>61</v>
      </c>
      <c r="F28" s="4" t="s">
        <v>46</v>
      </c>
      <c r="G28" s="4" t="s">
        <v>35</v>
      </c>
      <c r="H28" s="4" t="s">
        <v>40</v>
      </c>
      <c r="I28" s="4" t="s">
        <v>45</v>
      </c>
      <c r="J28" s="4" t="s">
        <v>46</v>
      </c>
      <c r="K28" s="4" t="s">
        <v>47</v>
      </c>
      <c r="L28" s="4" t="s">
        <v>47</v>
      </c>
      <c r="M28" s="4" t="s">
        <v>48</v>
      </c>
      <c r="N28" s="4" t="s">
        <v>56</v>
      </c>
      <c r="O28" s="4" t="s">
        <v>90</v>
      </c>
    </row>
    <row r="29" spans="1:15">
      <c r="A29" s="4">
        <v>28</v>
      </c>
      <c r="B29" s="3">
        <v>45955.848907615742</v>
      </c>
      <c r="C29" s="4" t="s">
        <v>146</v>
      </c>
      <c r="D29" s="4" t="s">
        <v>147</v>
      </c>
      <c r="E29" s="4" t="s">
        <v>61</v>
      </c>
      <c r="F29" s="4" t="s">
        <v>47</v>
      </c>
      <c r="G29" s="4" t="s">
        <v>37</v>
      </c>
      <c r="H29" s="4" t="s">
        <v>41</v>
      </c>
      <c r="I29" s="4" t="s">
        <v>43</v>
      </c>
      <c r="J29" s="4" t="s">
        <v>47</v>
      </c>
      <c r="K29" s="4" t="s">
        <v>46</v>
      </c>
      <c r="L29" s="4" t="s">
        <v>47</v>
      </c>
      <c r="M29" s="4" t="s">
        <v>48</v>
      </c>
      <c r="N29" s="4" t="s">
        <v>56</v>
      </c>
      <c r="O29" s="4" t="s">
        <v>148</v>
      </c>
    </row>
    <row r="30" spans="1:15">
      <c r="A30" s="4">
        <v>29</v>
      </c>
      <c r="B30" s="3">
        <v>45955.852130891202</v>
      </c>
      <c r="C30" s="4" t="s">
        <v>149</v>
      </c>
      <c r="D30" s="4" t="s">
        <v>150</v>
      </c>
      <c r="E30" s="4" t="s">
        <v>62</v>
      </c>
      <c r="F30" s="4" t="s">
        <v>47</v>
      </c>
      <c r="G30" s="4" t="s">
        <v>35</v>
      </c>
      <c r="H30" s="4" t="s">
        <v>41</v>
      </c>
      <c r="I30" s="4" t="s">
        <v>44</v>
      </c>
      <c r="J30" s="4" t="s">
        <v>46</v>
      </c>
      <c r="K30" s="4" t="s">
        <v>47</v>
      </c>
      <c r="L30" s="4" t="s">
        <v>47</v>
      </c>
      <c r="M30" s="4" t="s">
        <v>48</v>
      </c>
      <c r="N30" s="4" t="s">
        <v>57</v>
      </c>
      <c r="O30" s="4" t="s">
        <v>151</v>
      </c>
    </row>
    <row r="31" spans="1:15">
      <c r="A31" s="4">
        <v>30</v>
      </c>
      <c r="B31" s="3">
        <v>45955.853908171295</v>
      </c>
      <c r="C31" s="4" t="s">
        <v>152</v>
      </c>
      <c r="D31" s="4" t="s">
        <v>153</v>
      </c>
      <c r="E31" s="4" t="s">
        <v>61</v>
      </c>
      <c r="F31" s="4" t="s">
        <v>47</v>
      </c>
      <c r="G31" s="4" t="s">
        <v>35</v>
      </c>
      <c r="H31" s="4" t="s">
        <v>39</v>
      </c>
      <c r="I31" s="4" t="s">
        <v>43</v>
      </c>
      <c r="J31" s="4" t="s">
        <v>46</v>
      </c>
      <c r="K31" s="4" t="s">
        <v>47</v>
      </c>
      <c r="L31" s="4" t="s">
        <v>47</v>
      </c>
      <c r="M31" s="4" t="s">
        <v>49</v>
      </c>
      <c r="N31" s="4" t="s">
        <v>58</v>
      </c>
      <c r="O31" s="4" t="s">
        <v>89</v>
      </c>
    </row>
    <row r="32" spans="1:15">
      <c r="A32" s="4">
        <v>31</v>
      </c>
      <c r="B32" s="3">
        <v>45955.854481423608</v>
      </c>
      <c r="C32" s="4" t="s">
        <v>154</v>
      </c>
      <c r="D32" s="4" t="s">
        <v>155</v>
      </c>
      <c r="E32" s="4" t="s">
        <v>61</v>
      </c>
      <c r="F32" s="4" t="s">
        <v>47</v>
      </c>
      <c r="G32" s="4" t="s">
        <v>35</v>
      </c>
      <c r="H32" s="4" t="s">
        <v>39</v>
      </c>
      <c r="I32" s="4" t="s">
        <v>43</v>
      </c>
      <c r="J32" s="4" t="s">
        <v>46</v>
      </c>
      <c r="K32" s="4" t="s">
        <v>47</v>
      </c>
      <c r="L32" s="4" t="s">
        <v>46</v>
      </c>
      <c r="M32" s="4" t="s">
        <v>48</v>
      </c>
      <c r="N32" s="4" t="s">
        <v>58</v>
      </c>
      <c r="O32" s="4" t="s">
        <v>46</v>
      </c>
    </row>
    <row r="33" spans="1:15">
      <c r="A33" s="4">
        <v>32</v>
      </c>
      <c r="B33" s="3">
        <v>45955.855043842588</v>
      </c>
      <c r="C33" s="4" t="s">
        <v>156</v>
      </c>
      <c r="D33" s="4" t="s">
        <v>157</v>
      </c>
      <c r="E33" s="4" t="s">
        <v>61</v>
      </c>
      <c r="F33" s="4" t="s">
        <v>47</v>
      </c>
      <c r="G33" s="4" t="s">
        <v>35</v>
      </c>
      <c r="H33" s="4" t="s">
        <v>41</v>
      </c>
      <c r="I33" s="4" t="s">
        <v>43</v>
      </c>
      <c r="J33" s="4" t="s">
        <v>46</v>
      </c>
      <c r="K33" s="4" t="s">
        <v>47</v>
      </c>
      <c r="L33" s="4" t="s">
        <v>47</v>
      </c>
      <c r="M33" s="4" t="s">
        <v>49</v>
      </c>
      <c r="N33" s="4" t="s">
        <v>57</v>
      </c>
      <c r="O33" s="4" t="s">
        <v>90</v>
      </c>
    </row>
    <row r="34" spans="1:15">
      <c r="A34" s="4">
        <v>33</v>
      </c>
      <c r="B34" s="3">
        <v>45955.856548379626</v>
      </c>
      <c r="C34" s="4" t="s">
        <v>158</v>
      </c>
      <c r="D34" s="4" t="s">
        <v>159</v>
      </c>
      <c r="E34" s="4" t="s">
        <v>61</v>
      </c>
      <c r="F34" s="4" t="s">
        <v>47</v>
      </c>
      <c r="G34" s="4" t="s">
        <v>35</v>
      </c>
      <c r="H34" s="4" t="s">
        <v>41</v>
      </c>
      <c r="I34" s="4" t="s">
        <v>42</v>
      </c>
      <c r="J34" s="4" t="s">
        <v>46</v>
      </c>
      <c r="K34" s="4" t="s">
        <v>47</v>
      </c>
      <c r="L34" s="4" t="s">
        <v>47</v>
      </c>
      <c r="M34" s="4" t="s">
        <v>48</v>
      </c>
      <c r="N34" s="4" t="s">
        <v>58</v>
      </c>
      <c r="O34" s="4" t="s">
        <v>90</v>
      </c>
    </row>
    <row r="35" spans="1:15">
      <c r="A35" s="4">
        <v>34</v>
      </c>
      <c r="B35" s="3">
        <v>45955.858017708335</v>
      </c>
      <c r="C35" s="4" t="s">
        <v>160</v>
      </c>
      <c r="D35" s="4" t="s">
        <v>161</v>
      </c>
      <c r="E35" s="4" t="s">
        <v>62</v>
      </c>
      <c r="F35" s="4" t="s">
        <v>47</v>
      </c>
      <c r="G35" s="4" t="s">
        <v>37</v>
      </c>
      <c r="H35" s="4" t="s">
        <v>41</v>
      </c>
      <c r="I35" s="4" t="s">
        <v>42</v>
      </c>
      <c r="J35" s="4" t="s">
        <v>46</v>
      </c>
      <c r="K35" s="4" t="s">
        <v>47</v>
      </c>
      <c r="L35" s="4" t="s">
        <v>47</v>
      </c>
      <c r="M35" s="4" t="s">
        <v>49</v>
      </c>
      <c r="N35" s="4" t="s">
        <v>56</v>
      </c>
      <c r="O35" s="4" t="s">
        <v>90</v>
      </c>
    </row>
    <row r="36" spans="1:15">
      <c r="A36" s="4">
        <v>35</v>
      </c>
      <c r="B36" s="3">
        <v>45955.858538043976</v>
      </c>
      <c r="C36" s="4" t="s">
        <v>162</v>
      </c>
      <c r="D36" s="4" t="s">
        <v>163</v>
      </c>
      <c r="E36" s="4" t="s">
        <v>61</v>
      </c>
      <c r="F36" s="4" t="s">
        <v>47</v>
      </c>
      <c r="G36" s="4" t="s">
        <v>35</v>
      </c>
      <c r="H36" s="4" t="s">
        <v>40</v>
      </c>
      <c r="I36" s="4" t="s">
        <v>43</v>
      </c>
      <c r="J36" s="4" t="s">
        <v>46</v>
      </c>
      <c r="K36" s="4" t="s">
        <v>47</v>
      </c>
      <c r="L36" s="4" t="s">
        <v>47</v>
      </c>
      <c r="M36" s="4" t="s">
        <v>49</v>
      </c>
      <c r="N36" s="4" t="s">
        <v>56</v>
      </c>
      <c r="O36" s="4" t="s">
        <v>164</v>
      </c>
    </row>
    <row r="37" spans="1:15">
      <c r="A37" s="4">
        <v>36</v>
      </c>
      <c r="B37" s="3">
        <v>45955.867995555556</v>
      </c>
      <c r="C37" s="4" t="s">
        <v>165</v>
      </c>
      <c r="D37" s="4" t="s">
        <v>166</v>
      </c>
      <c r="E37" s="4" t="s">
        <v>61</v>
      </c>
      <c r="F37" s="4" t="s">
        <v>47</v>
      </c>
      <c r="G37" s="4" t="s">
        <v>37</v>
      </c>
      <c r="H37" s="4" t="s">
        <v>41</v>
      </c>
      <c r="I37" s="4" t="s">
        <v>44</v>
      </c>
      <c r="J37" s="4" t="s">
        <v>47</v>
      </c>
      <c r="K37" s="4" t="s">
        <v>47</v>
      </c>
      <c r="L37" s="4" t="s">
        <v>47</v>
      </c>
      <c r="M37" s="4" t="s">
        <v>48</v>
      </c>
      <c r="N37" s="4" t="s">
        <v>57</v>
      </c>
      <c r="O37" s="4" t="s">
        <v>167</v>
      </c>
    </row>
    <row r="38" spans="1:15">
      <c r="A38" s="4">
        <v>37</v>
      </c>
      <c r="B38" s="3">
        <v>45955.86851375</v>
      </c>
      <c r="C38" s="4" t="s">
        <v>168</v>
      </c>
      <c r="D38" s="4" t="s">
        <v>169</v>
      </c>
      <c r="E38" s="4" t="s">
        <v>61</v>
      </c>
      <c r="F38" s="4" t="s">
        <v>47</v>
      </c>
      <c r="G38" s="4" t="s">
        <v>35</v>
      </c>
      <c r="H38" s="4" t="s">
        <v>41</v>
      </c>
      <c r="I38" s="4" t="s">
        <v>43</v>
      </c>
      <c r="J38" s="4" t="s">
        <v>46</v>
      </c>
      <c r="K38" s="4" t="s">
        <v>47</v>
      </c>
      <c r="L38" s="4" t="s">
        <v>47</v>
      </c>
      <c r="M38" s="4" t="s">
        <v>48</v>
      </c>
      <c r="N38" s="4" t="s">
        <v>57</v>
      </c>
      <c r="O38" s="4" t="s">
        <v>90</v>
      </c>
    </row>
    <row r="39" spans="1:15">
      <c r="A39" s="4">
        <v>38</v>
      </c>
      <c r="B39" s="3">
        <v>45955.869004768523</v>
      </c>
      <c r="C39" s="4" t="s">
        <v>170</v>
      </c>
      <c r="D39" s="4" t="s">
        <v>171</v>
      </c>
      <c r="E39" s="4" t="s">
        <v>62</v>
      </c>
      <c r="F39" s="4" t="s">
        <v>46</v>
      </c>
      <c r="G39" s="4" t="s">
        <v>37</v>
      </c>
      <c r="H39" s="4" t="s">
        <v>40</v>
      </c>
      <c r="I39" s="4" t="s">
        <v>42</v>
      </c>
      <c r="J39" s="4" t="s">
        <v>47</v>
      </c>
      <c r="K39" s="4" t="s">
        <v>46</v>
      </c>
      <c r="L39" s="4" t="s">
        <v>47</v>
      </c>
      <c r="M39" s="4" t="s">
        <v>50</v>
      </c>
      <c r="N39" s="4" t="s">
        <v>56</v>
      </c>
      <c r="O39" s="4" t="s">
        <v>90</v>
      </c>
    </row>
    <row r="40" spans="1:15">
      <c r="A40" s="4">
        <v>39</v>
      </c>
      <c r="B40" s="3">
        <v>45955.871156759255</v>
      </c>
      <c r="C40" s="4" t="s">
        <v>172</v>
      </c>
      <c r="D40" s="4" t="s">
        <v>173</v>
      </c>
      <c r="E40" s="4" t="s">
        <v>61</v>
      </c>
      <c r="F40" s="4" t="s">
        <v>47</v>
      </c>
      <c r="G40" s="4" t="s">
        <v>35</v>
      </c>
      <c r="H40" s="4" t="s">
        <v>39</v>
      </c>
      <c r="I40" s="4" t="s">
        <v>44</v>
      </c>
      <c r="J40" s="4" t="s">
        <v>47</v>
      </c>
      <c r="K40" s="4" t="s">
        <v>47</v>
      </c>
      <c r="L40" s="4" t="s">
        <v>47</v>
      </c>
      <c r="M40" s="4" t="s">
        <v>48</v>
      </c>
      <c r="N40" s="4" t="s">
        <v>58</v>
      </c>
      <c r="O40" s="4" t="s">
        <v>90</v>
      </c>
    </row>
    <row r="41" spans="1:15">
      <c r="A41" s="4">
        <v>40</v>
      </c>
      <c r="B41" s="3">
        <v>45955.880741782406</v>
      </c>
      <c r="C41" s="4" t="s">
        <v>174</v>
      </c>
      <c r="D41" s="4" t="s">
        <v>175</v>
      </c>
      <c r="E41" s="4" t="s">
        <v>61</v>
      </c>
      <c r="F41" s="4" t="s">
        <v>47</v>
      </c>
      <c r="G41" s="4" t="s">
        <v>35</v>
      </c>
      <c r="H41" s="4" t="s">
        <v>41</v>
      </c>
      <c r="I41" s="4" t="s">
        <v>42</v>
      </c>
      <c r="J41" s="4" t="s">
        <v>46</v>
      </c>
      <c r="K41" s="4" t="s">
        <v>46</v>
      </c>
      <c r="L41" s="4" t="s">
        <v>47</v>
      </c>
      <c r="M41" s="4" t="s">
        <v>48</v>
      </c>
      <c r="N41" s="4" t="s">
        <v>58</v>
      </c>
      <c r="O41" s="4" t="s">
        <v>176</v>
      </c>
    </row>
    <row r="42" spans="1:15">
      <c r="A42" s="4">
        <v>41</v>
      </c>
      <c r="B42" s="3">
        <v>45955.898860729169</v>
      </c>
      <c r="C42" s="4" t="s">
        <v>177</v>
      </c>
      <c r="D42" s="4" t="s">
        <v>178</v>
      </c>
      <c r="E42" s="4" t="s">
        <v>61</v>
      </c>
      <c r="F42" s="4" t="s">
        <v>47</v>
      </c>
      <c r="G42" s="4" t="s">
        <v>35</v>
      </c>
      <c r="H42" s="4" t="s">
        <v>41</v>
      </c>
      <c r="I42" s="4" t="s">
        <v>43</v>
      </c>
      <c r="J42" s="4" t="s">
        <v>46</v>
      </c>
      <c r="K42" s="4" t="s">
        <v>47</v>
      </c>
      <c r="L42" s="4" t="s">
        <v>47</v>
      </c>
      <c r="M42" s="4" t="s">
        <v>49</v>
      </c>
      <c r="N42" s="4" t="s">
        <v>56</v>
      </c>
      <c r="O42" s="4" t="s">
        <v>179</v>
      </c>
    </row>
    <row r="43" spans="1:15">
      <c r="A43" s="4">
        <v>42</v>
      </c>
      <c r="B43" s="3">
        <v>45955.903098275463</v>
      </c>
      <c r="C43" s="4" t="s">
        <v>180</v>
      </c>
      <c r="D43" s="4" t="s">
        <v>181</v>
      </c>
      <c r="E43" s="4" t="s">
        <v>61</v>
      </c>
      <c r="F43" s="4" t="s">
        <v>47</v>
      </c>
      <c r="G43" s="4" t="s">
        <v>35</v>
      </c>
      <c r="H43" s="4" t="s">
        <v>41</v>
      </c>
      <c r="I43" s="4" t="s">
        <v>43</v>
      </c>
      <c r="J43" s="4" t="s">
        <v>46</v>
      </c>
      <c r="K43" s="4" t="s">
        <v>47</v>
      </c>
      <c r="L43" s="4" t="s">
        <v>47</v>
      </c>
      <c r="M43" s="4" t="s">
        <v>48</v>
      </c>
      <c r="N43" s="4" t="s">
        <v>58</v>
      </c>
      <c r="O43" s="4" t="s">
        <v>182</v>
      </c>
    </row>
    <row r="44" spans="1:15">
      <c r="A44" s="4">
        <v>43</v>
      </c>
      <c r="B44" s="3">
        <v>45955.986481759261</v>
      </c>
      <c r="C44" s="4" t="s">
        <v>183</v>
      </c>
      <c r="D44" s="4" t="s">
        <v>184</v>
      </c>
      <c r="E44" s="4" t="s">
        <v>61</v>
      </c>
      <c r="F44" s="4" t="s">
        <v>47</v>
      </c>
      <c r="G44" s="4" t="s">
        <v>35</v>
      </c>
      <c r="H44" s="4" t="s">
        <v>40</v>
      </c>
      <c r="I44" s="4" t="s">
        <v>42</v>
      </c>
      <c r="J44" s="4" t="s">
        <v>46</v>
      </c>
      <c r="K44" s="4" t="s">
        <v>47</v>
      </c>
      <c r="L44" s="4" t="s">
        <v>47</v>
      </c>
      <c r="M44" s="4" t="s">
        <v>48</v>
      </c>
      <c r="N44" s="4" t="s">
        <v>56</v>
      </c>
      <c r="O44" s="4" t="s">
        <v>90</v>
      </c>
    </row>
    <row r="45" spans="1:15">
      <c r="A45" s="4">
        <v>44</v>
      </c>
      <c r="B45" s="3">
        <v>45956.28252148148</v>
      </c>
      <c r="C45" s="4" t="s">
        <v>185</v>
      </c>
      <c r="D45" s="4" t="s">
        <v>186</v>
      </c>
      <c r="E45" s="4" t="s">
        <v>61</v>
      </c>
      <c r="F45" s="4" t="s">
        <v>47</v>
      </c>
      <c r="G45" s="4" t="s">
        <v>35</v>
      </c>
      <c r="H45" s="4" t="s">
        <v>39</v>
      </c>
      <c r="I45" s="4" t="s">
        <v>43</v>
      </c>
      <c r="J45" s="4" t="s">
        <v>46</v>
      </c>
      <c r="K45" s="4" t="s">
        <v>47</v>
      </c>
      <c r="L45" s="4" t="s">
        <v>47</v>
      </c>
      <c r="M45" s="4" t="s">
        <v>49</v>
      </c>
      <c r="N45" s="4" t="s">
        <v>58</v>
      </c>
      <c r="O45" s="4" t="s">
        <v>187</v>
      </c>
    </row>
    <row r="46" spans="1:15">
      <c r="A46" s="4">
        <v>45</v>
      </c>
      <c r="B46" s="3">
        <v>45956.358706909727</v>
      </c>
      <c r="C46" s="4" t="s">
        <v>188</v>
      </c>
      <c r="D46" s="4" t="s">
        <v>189</v>
      </c>
      <c r="E46" s="4" t="s">
        <v>61</v>
      </c>
      <c r="F46" s="4" t="s">
        <v>47</v>
      </c>
      <c r="G46" s="4" t="s">
        <v>37</v>
      </c>
      <c r="H46" s="4" t="s">
        <v>41</v>
      </c>
      <c r="I46" s="4" t="s">
        <v>43</v>
      </c>
      <c r="J46" s="4" t="s">
        <v>46</v>
      </c>
      <c r="K46" s="4" t="s">
        <v>46</v>
      </c>
      <c r="L46" s="4" t="s">
        <v>46</v>
      </c>
      <c r="M46" s="4" t="s">
        <v>52</v>
      </c>
      <c r="N46" s="4" t="s">
        <v>58</v>
      </c>
      <c r="O46" s="4" t="s">
        <v>90</v>
      </c>
    </row>
    <row r="47" spans="1:15">
      <c r="A47" s="4">
        <v>46</v>
      </c>
      <c r="B47" s="3">
        <v>45956.372705694448</v>
      </c>
      <c r="C47" s="4" t="s">
        <v>190</v>
      </c>
      <c r="D47" s="4" t="s">
        <v>191</v>
      </c>
      <c r="E47" s="4" t="s">
        <v>61</v>
      </c>
      <c r="F47" s="4" t="s">
        <v>47</v>
      </c>
      <c r="G47" s="4" t="s">
        <v>35</v>
      </c>
      <c r="H47" s="4" t="s">
        <v>40</v>
      </c>
      <c r="I47" s="4" t="s">
        <v>45</v>
      </c>
      <c r="J47" s="4" t="s">
        <v>46</v>
      </c>
      <c r="K47" s="4" t="s">
        <v>47</v>
      </c>
      <c r="L47" s="4" t="s">
        <v>47</v>
      </c>
      <c r="M47" s="4" t="s">
        <v>49</v>
      </c>
      <c r="N47" s="4" t="s">
        <v>57</v>
      </c>
      <c r="O47" s="4" t="s">
        <v>192</v>
      </c>
    </row>
    <row r="48" spans="1:15">
      <c r="A48" s="4">
        <v>47</v>
      </c>
      <c r="B48" s="3">
        <v>45956.379683935185</v>
      </c>
      <c r="C48" s="4" t="s">
        <v>193</v>
      </c>
      <c r="D48" s="4" t="s">
        <v>194</v>
      </c>
      <c r="E48" s="4" t="s">
        <v>64</v>
      </c>
      <c r="F48" s="4" t="s">
        <v>47</v>
      </c>
      <c r="G48" s="4" t="s">
        <v>35</v>
      </c>
      <c r="H48" s="4" t="s">
        <v>41</v>
      </c>
      <c r="I48" s="4" t="s">
        <v>43</v>
      </c>
      <c r="J48" s="4" t="s">
        <v>46</v>
      </c>
      <c r="K48" s="4" t="s">
        <v>47</v>
      </c>
      <c r="L48" s="4" t="s">
        <v>47</v>
      </c>
      <c r="M48" s="4" t="s">
        <v>48</v>
      </c>
      <c r="N48" s="4" t="s">
        <v>58</v>
      </c>
      <c r="O48" s="4" t="s">
        <v>195</v>
      </c>
    </row>
    <row r="49" spans="1:15">
      <c r="A49" s="4">
        <v>48</v>
      </c>
      <c r="B49" s="3">
        <v>45956.383013344908</v>
      </c>
      <c r="C49" s="4" t="s">
        <v>196</v>
      </c>
      <c r="D49" s="4" t="s">
        <v>197</v>
      </c>
      <c r="E49" s="4" t="s">
        <v>62</v>
      </c>
      <c r="F49" s="4" t="s">
        <v>47</v>
      </c>
      <c r="G49" s="4" t="s">
        <v>37</v>
      </c>
      <c r="H49" s="4" t="s">
        <v>41</v>
      </c>
      <c r="I49" s="4" t="s">
        <v>45</v>
      </c>
      <c r="J49" s="4" t="s">
        <v>46</v>
      </c>
      <c r="K49" s="4" t="s">
        <v>47</v>
      </c>
      <c r="L49" s="4" t="s">
        <v>47</v>
      </c>
      <c r="M49" s="4" t="s">
        <v>49</v>
      </c>
      <c r="N49" s="4" t="s">
        <v>56</v>
      </c>
      <c r="O49" s="4" t="s">
        <v>90</v>
      </c>
    </row>
    <row r="50" spans="1:15">
      <c r="A50" s="4">
        <v>49</v>
      </c>
      <c r="B50" s="3">
        <v>45956.394950393515</v>
      </c>
      <c r="C50" s="4" t="s">
        <v>198</v>
      </c>
      <c r="D50" s="4" t="s">
        <v>199</v>
      </c>
      <c r="E50" s="4" t="s">
        <v>61</v>
      </c>
      <c r="F50" s="4" t="s">
        <v>47</v>
      </c>
      <c r="G50" s="4" t="s">
        <v>35</v>
      </c>
      <c r="H50" s="4" t="s">
        <v>41</v>
      </c>
      <c r="I50" s="4" t="s">
        <v>43</v>
      </c>
      <c r="J50" s="4" t="s">
        <v>46</v>
      </c>
      <c r="K50" s="4" t="s">
        <v>47</v>
      </c>
      <c r="L50" s="4" t="s">
        <v>47</v>
      </c>
      <c r="M50" s="4" t="s">
        <v>48</v>
      </c>
      <c r="N50" s="4" t="s">
        <v>57</v>
      </c>
      <c r="O50" s="4" t="s">
        <v>90</v>
      </c>
    </row>
    <row r="51" spans="1:15">
      <c r="A51" s="4">
        <v>50</v>
      </c>
      <c r="B51" s="3">
        <v>45956.425561180557</v>
      </c>
      <c r="C51" s="4" t="s">
        <v>200</v>
      </c>
      <c r="D51" s="4" t="s">
        <v>201</v>
      </c>
      <c r="E51" s="4" t="s">
        <v>61</v>
      </c>
      <c r="F51" s="4" t="s">
        <v>47</v>
      </c>
      <c r="G51" s="4" t="s">
        <v>35</v>
      </c>
      <c r="H51" s="4" t="s">
        <v>40</v>
      </c>
      <c r="I51" s="4" t="s">
        <v>42</v>
      </c>
      <c r="J51" s="4" t="s">
        <v>46</v>
      </c>
      <c r="K51" s="4" t="s">
        <v>47</v>
      </c>
      <c r="L51" s="4" t="s">
        <v>47</v>
      </c>
      <c r="M51" s="4" t="s">
        <v>48</v>
      </c>
      <c r="N51" s="4" t="s">
        <v>56</v>
      </c>
      <c r="O51" s="4" t="s">
        <v>202</v>
      </c>
    </row>
    <row r="52" spans="1:15">
      <c r="A52" s="4">
        <v>51</v>
      </c>
      <c r="B52" s="3">
        <v>45956.451180509262</v>
      </c>
      <c r="C52" s="4" t="s">
        <v>203</v>
      </c>
      <c r="D52" s="4" t="s">
        <v>204</v>
      </c>
      <c r="E52" s="4" t="s">
        <v>64</v>
      </c>
      <c r="F52" s="4" t="s">
        <v>47</v>
      </c>
      <c r="G52" s="4" t="s">
        <v>34</v>
      </c>
      <c r="H52" s="4" t="s">
        <v>39</v>
      </c>
      <c r="I52" s="4" t="s">
        <v>45</v>
      </c>
      <c r="J52" s="4" t="s">
        <v>46</v>
      </c>
      <c r="K52" s="4" t="s">
        <v>47</v>
      </c>
      <c r="L52" s="4" t="s">
        <v>47</v>
      </c>
      <c r="M52" s="4" t="s">
        <v>48</v>
      </c>
      <c r="N52" s="4" t="s">
        <v>56</v>
      </c>
      <c r="O52" s="4" t="s">
        <v>90</v>
      </c>
    </row>
    <row r="53" spans="1:15">
      <c r="A53" s="4">
        <v>52</v>
      </c>
      <c r="B53" s="3">
        <v>45956.457580069444</v>
      </c>
      <c r="C53" s="4" t="s">
        <v>205</v>
      </c>
      <c r="D53" s="4" t="s">
        <v>206</v>
      </c>
      <c r="E53" s="4" t="s">
        <v>63</v>
      </c>
      <c r="F53" s="4" t="s">
        <v>47</v>
      </c>
      <c r="G53" s="4" t="s">
        <v>35</v>
      </c>
      <c r="H53" s="4" t="s">
        <v>39</v>
      </c>
      <c r="I53" s="4" t="s">
        <v>42</v>
      </c>
      <c r="J53" s="4" t="s">
        <v>46</v>
      </c>
      <c r="K53" s="4" t="s">
        <v>47</v>
      </c>
      <c r="L53" s="4" t="s">
        <v>47</v>
      </c>
      <c r="M53" s="4" t="s">
        <v>48</v>
      </c>
      <c r="N53" s="4" t="s">
        <v>58</v>
      </c>
      <c r="O53" s="4" t="s">
        <v>207</v>
      </c>
    </row>
    <row r="54" spans="1:15" ht="15">
      <c r="A54" s="4">
        <v>53</v>
      </c>
      <c r="B54" s="3">
        <v>45956.462290219904</v>
      </c>
      <c r="C54" s="4" t="s">
        <v>208</v>
      </c>
      <c r="D54" s="7" t="s">
        <v>89</v>
      </c>
      <c r="E54" s="4" t="s">
        <v>63</v>
      </c>
      <c r="F54" s="4" t="s">
        <v>47</v>
      </c>
      <c r="G54" s="4" t="s">
        <v>35</v>
      </c>
      <c r="H54" s="4" t="s">
        <v>40</v>
      </c>
      <c r="I54" s="4" t="s">
        <v>42</v>
      </c>
      <c r="J54" s="4" t="s">
        <v>46</v>
      </c>
      <c r="K54" s="4" t="s">
        <v>47</v>
      </c>
      <c r="L54" s="4" t="s">
        <v>47</v>
      </c>
      <c r="M54" s="4" t="s">
        <v>52</v>
      </c>
      <c r="N54" s="4" t="s">
        <v>58</v>
      </c>
      <c r="O54" s="4" t="s">
        <v>90</v>
      </c>
    </row>
    <row r="55" spans="1:15">
      <c r="A55" s="4">
        <v>54</v>
      </c>
      <c r="B55" s="3">
        <v>45956.466886574075</v>
      </c>
      <c r="C55" s="4" t="s">
        <v>209</v>
      </c>
      <c r="D55" s="4" t="s">
        <v>210</v>
      </c>
      <c r="E55" s="4" t="s">
        <v>61</v>
      </c>
      <c r="F55" s="4" t="s">
        <v>47</v>
      </c>
      <c r="G55" s="4" t="s">
        <v>35</v>
      </c>
      <c r="H55" s="4" t="s">
        <v>41</v>
      </c>
      <c r="I55" s="4" t="s">
        <v>43</v>
      </c>
      <c r="J55" s="4" t="s">
        <v>46</v>
      </c>
      <c r="K55" s="4" t="s">
        <v>47</v>
      </c>
      <c r="L55" s="4" t="s">
        <v>47</v>
      </c>
      <c r="M55" s="4" t="s">
        <v>48</v>
      </c>
      <c r="N55" s="4" t="s">
        <v>56</v>
      </c>
      <c r="O55" s="4" t="s">
        <v>89</v>
      </c>
    </row>
    <row r="56" spans="1:15">
      <c r="A56" s="4">
        <v>55</v>
      </c>
      <c r="B56" s="3">
        <v>45956.483261516201</v>
      </c>
      <c r="C56" s="4" t="s">
        <v>211</v>
      </c>
      <c r="D56" s="4" t="s">
        <v>212</v>
      </c>
      <c r="E56" s="4" t="s">
        <v>63</v>
      </c>
      <c r="F56" s="4" t="s">
        <v>47</v>
      </c>
      <c r="G56" s="4" t="s">
        <v>37</v>
      </c>
      <c r="H56" s="4" t="s">
        <v>41</v>
      </c>
      <c r="I56" s="4" t="s">
        <v>45</v>
      </c>
      <c r="J56" s="4" t="s">
        <v>46</v>
      </c>
      <c r="K56" s="4" t="s">
        <v>47</v>
      </c>
      <c r="L56" s="4" t="s">
        <v>47</v>
      </c>
      <c r="M56" s="4" t="s">
        <v>48</v>
      </c>
      <c r="N56" s="4" t="s">
        <v>58</v>
      </c>
      <c r="O56" s="4" t="s">
        <v>90</v>
      </c>
    </row>
    <row r="57" spans="1:15">
      <c r="A57" s="4">
        <v>56</v>
      </c>
      <c r="B57" s="3">
        <v>45956.502143495367</v>
      </c>
      <c r="C57" s="4" t="s">
        <v>213</v>
      </c>
      <c r="D57" s="4" t="s">
        <v>214</v>
      </c>
      <c r="E57" s="4" t="s">
        <v>62</v>
      </c>
      <c r="F57" s="4" t="s">
        <v>47</v>
      </c>
      <c r="G57" s="4" t="s">
        <v>35</v>
      </c>
      <c r="H57" s="4" t="s">
        <v>41</v>
      </c>
      <c r="I57" s="4" t="s">
        <v>42</v>
      </c>
      <c r="J57" s="4" t="s">
        <v>47</v>
      </c>
      <c r="K57" s="4" t="s">
        <v>47</v>
      </c>
      <c r="L57" s="4" t="s">
        <v>47</v>
      </c>
      <c r="M57" s="4" t="s">
        <v>48</v>
      </c>
      <c r="N57" s="4" t="s">
        <v>58</v>
      </c>
      <c r="O57" s="4" t="s">
        <v>90</v>
      </c>
    </row>
    <row r="58" spans="1:15">
      <c r="A58" s="4">
        <v>57</v>
      </c>
      <c r="B58" s="3">
        <v>45956.510937013889</v>
      </c>
      <c r="C58" s="4" t="s">
        <v>215</v>
      </c>
      <c r="D58" s="4" t="s">
        <v>216</v>
      </c>
      <c r="E58" s="4" t="s">
        <v>61</v>
      </c>
      <c r="F58" s="4" t="s">
        <v>47</v>
      </c>
      <c r="G58" s="4" t="s">
        <v>35</v>
      </c>
      <c r="H58" s="4" t="s">
        <v>40</v>
      </c>
      <c r="I58" s="4" t="s">
        <v>44</v>
      </c>
      <c r="J58" s="4" t="s">
        <v>46</v>
      </c>
      <c r="K58" s="4" t="s">
        <v>47</v>
      </c>
      <c r="L58" s="4" t="s">
        <v>47</v>
      </c>
      <c r="M58" s="4" t="s">
        <v>48</v>
      </c>
      <c r="N58" s="4" t="s">
        <v>57</v>
      </c>
      <c r="O58" s="4" t="s">
        <v>90</v>
      </c>
    </row>
    <row r="59" spans="1:15">
      <c r="A59" s="4">
        <v>58</v>
      </c>
      <c r="B59" s="3">
        <v>45956.519636331017</v>
      </c>
      <c r="C59" s="4" t="s">
        <v>217</v>
      </c>
      <c r="D59" s="4" t="s">
        <v>218</v>
      </c>
      <c r="E59" s="4" t="s">
        <v>61</v>
      </c>
      <c r="F59" s="4" t="s">
        <v>47</v>
      </c>
      <c r="G59" s="4" t="s">
        <v>37</v>
      </c>
      <c r="H59" s="4" t="s">
        <v>41</v>
      </c>
      <c r="I59" s="4" t="s">
        <v>43</v>
      </c>
      <c r="J59" s="4" t="s">
        <v>46</v>
      </c>
      <c r="K59" s="4" t="s">
        <v>46</v>
      </c>
      <c r="L59" s="4" t="s">
        <v>46</v>
      </c>
      <c r="M59" s="4" t="s">
        <v>49</v>
      </c>
      <c r="N59" s="4" t="s">
        <v>57</v>
      </c>
      <c r="O59" s="4" t="s">
        <v>219</v>
      </c>
    </row>
    <row r="60" spans="1:15">
      <c r="A60" s="4">
        <v>59</v>
      </c>
      <c r="B60" s="3">
        <v>45956.558915914356</v>
      </c>
      <c r="C60" s="4" t="s">
        <v>220</v>
      </c>
      <c r="D60" s="4" t="s">
        <v>221</v>
      </c>
      <c r="E60" s="4" t="s">
        <v>61</v>
      </c>
      <c r="F60" s="4" t="s">
        <v>47</v>
      </c>
      <c r="G60" s="4" t="s">
        <v>35</v>
      </c>
      <c r="H60" s="4" t="s">
        <v>41</v>
      </c>
      <c r="I60" s="4" t="s">
        <v>43</v>
      </c>
      <c r="J60" s="4" t="s">
        <v>46</v>
      </c>
      <c r="K60" s="4" t="s">
        <v>47</v>
      </c>
      <c r="L60" s="4" t="s">
        <v>47</v>
      </c>
      <c r="M60" s="4" t="s">
        <v>52</v>
      </c>
      <c r="N60" s="4" t="s">
        <v>56</v>
      </c>
      <c r="O60" s="4" t="s">
        <v>222</v>
      </c>
    </row>
    <row r="61" spans="1:15">
      <c r="A61" s="4">
        <v>60</v>
      </c>
      <c r="B61" s="3">
        <v>45956.637335601852</v>
      </c>
      <c r="C61" s="4" t="s">
        <v>223</v>
      </c>
      <c r="D61" s="4" t="s">
        <v>224</v>
      </c>
      <c r="E61" s="4" t="s">
        <v>61</v>
      </c>
      <c r="F61" s="4" t="s">
        <v>47</v>
      </c>
      <c r="G61" s="4" t="s">
        <v>35</v>
      </c>
      <c r="H61" s="4" t="s">
        <v>41</v>
      </c>
      <c r="I61" s="4" t="s">
        <v>45</v>
      </c>
      <c r="J61" s="4" t="s">
        <v>46</v>
      </c>
      <c r="K61" s="4" t="s">
        <v>47</v>
      </c>
      <c r="L61" s="4" t="s">
        <v>47</v>
      </c>
      <c r="M61" s="4" t="s">
        <v>48</v>
      </c>
      <c r="N61" s="4" t="s">
        <v>57</v>
      </c>
      <c r="O61" s="4" t="s">
        <v>90</v>
      </c>
    </row>
  </sheetData>
  <hyperlinks>
    <hyperlink ref="D3" r:id="rId1" xr:uid="{0C0045F6-F5AF-4BF4-B527-9E2ED6F29C0F}"/>
  </hyperlinks>
  <pageMargins left="0.7" right="0.7" top="0.75" bottom="0.75" header="0.3" footer="0.3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40D6C-3442-4DB6-A361-5F34C3E47BF5}">
  <dimension ref="A1:B4"/>
  <sheetViews>
    <sheetView workbookViewId="0">
      <selection activeCell="A19" sqref="A19"/>
    </sheetView>
  </sheetViews>
  <sheetFormatPr defaultRowHeight="15"/>
  <cols>
    <col min="1" max="1" width="18.5703125" bestFit="1" customWidth="1"/>
    <col min="2" max="2" width="13.42578125" bestFit="1" customWidth="1"/>
  </cols>
  <sheetData>
    <row r="1" spans="1:2">
      <c r="A1" s="11" t="s">
        <v>226</v>
      </c>
      <c r="B1" s="11" t="s">
        <v>227</v>
      </c>
    </row>
    <row r="2" spans="1:2">
      <c r="A2" s="12" t="s">
        <v>39</v>
      </c>
      <c r="B2">
        <v>2</v>
      </c>
    </row>
    <row r="3" spans="1:2">
      <c r="A3" s="12" t="s">
        <v>40</v>
      </c>
      <c r="B3">
        <v>4</v>
      </c>
    </row>
    <row r="4" spans="1:2">
      <c r="A4" s="12" t="s">
        <v>41</v>
      </c>
      <c r="B4">
        <v>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FE6DEE-DD6F-4A6E-B0BD-8C80C4160B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UPI Dashboard</vt:lpstr>
      <vt:lpstr>Dashboard Explanation</vt:lpstr>
      <vt:lpstr>Project_Summary</vt:lpstr>
      <vt:lpstr>Pvt_Freq</vt:lpstr>
      <vt:lpstr>FREQ_USES</vt:lpstr>
      <vt:lpstr>PURPOSE_USE</vt:lpstr>
      <vt:lpstr>ISSU_FACED</vt:lpstr>
      <vt:lpstr>PERCEP_SECUR</vt:lpstr>
      <vt:lpstr>Perc__Benefit</vt:lpstr>
      <vt:lpstr>Prim_Uses_Reason</vt:lpstr>
      <vt:lpstr>NonUser_Reason</vt:lpstr>
      <vt:lpstr>App_Age_segment</vt:lpstr>
      <vt:lpstr>Secur__Satisfac</vt:lpstr>
      <vt:lpstr>PurpUse_FreqUse</vt:lpstr>
      <vt:lpstr>reason_notUseUPIvsAgeGroup</vt:lpstr>
      <vt:lpstr>KPI</vt:lpstr>
      <vt:lpstr>power query's clean data set</vt:lpstr>
      <vt:lpstr>clean data set</vt:lpstr>
      <vt:lpstr>Lookup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</dc:creator>
  <cp:keywords/>
  <dc:description/>
  <cp:lastModifiedBy>rehan khan</cp:lastModifiedBy>
  <cp:revision/>
  <dcterms:created xsi:type="dcterms:W3CDTF">2025-10-26T16:22:47Z</dcterms:created>
  <dcterms:modified xsi:type="dcterms:W3CDTF">2025-12-07T10:59:30Z</dcterms:modified>
  <cp:category/>
  <cp:contentStatus/>
</cp:coreProperties>
</file>